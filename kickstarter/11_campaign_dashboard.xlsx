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Pre-launch" sheetId="3" state="visible" r:id="rId3"/>
    <sheet name="Daily" sheetId="4" state="visible" r:id="rId4"/>
    <sheet name="Tiers" sheetId="5" state="visible" r:id="rId5"/>
    <sheet name="Forecast" sheetId="6" state="visible" r:id="rId6"/>
    <sheet name="Trigg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€#,##0;(€#,##0);&quot;-&quot;"/>
    <numFmt numFmtId="165" formatCode="€#,##0.00"/>
    <numFmt numFmtId="166" formatCode="yyyy-mm-dd"/>
    <numFmt numFmtId="167" formatCode="#,##0;(#,##0);&quot;-&quot;"/>
    <numFmt numFmtId="168" formatCode="0.0%;(0.0%);&quot;-&quot;"/>
    <numFmt numFmtId="169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3B52"/>
      </patternFill>
    </fill>
    <fill>
      <patternFill patternType="solid">
        <fgColor rgb="00DDEF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pivotButton="0" quotePrefix="0" xfId="0"/>
    <xf numFmtId="164" fontId="4" fillId="0" borderId="0" pivotButton="0" quotePrefix="0" xfId="0"/>
    <xf numFmtId="165" fontId="4" fillId="2" borderId="0" pivotButton="0" quotePrefix="0" xfId="0"/>
    <xf numFmtId="166" fontId="4" fillId="0" borderId="0" pivotButton="0" quotePrefix="0" xfId="0"/>
    <xf numFmtId="167" fontId="4" fillId="0" borderId="0" pivotButton="0" quotePrefix="0" xfId="0"/>
    <xf numFmtId="165" fontId="4" fillId="0" borderId="0" pivotButton="0" quotePrefix="0" xfId="0"/>
    <xf numFmtId="168" fontId="4" fillId="2" borderId="0" pivotButton="0" quotePrefix="0" xfId="0"/>
    <xf numFmtId="0" fontId="5" fillId="3" borderId="0" applyAlignment="1" pivotButton="0" quotePrefix="0" xfId="0">
      <alignment vertical="center" wrapText="1"/>
    </xf>
    <xf numFmtId="166" fontId="2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8" fontId="4" fillId="0" borderId="0" pivotButton="0" quotePrefix="0" xfId="0"/>
    <xf numFmtId="169" fontId="2" fillId="0" borderId="0" pivotButton="0" quotePrefix="0" xfId="0"/>
    <xf numFmtId="0" fontId="3" fillId="0" borderId="0" pivotButton="0" quotePrefix="0" xfId="0"/>
    <xf numFmtId="167" fontId="3" fillId="0" borderId="0" pivotButton="0" quotePrefix="0" xfId="0"/>
    <xf numFmtId="164" fontId="3" fillId="0" borderId="0" pivotButton="0" quotePrefix="0" xfId="0"/>
    <xf numFmtId="164" fontId="3" fillId="4" borderId="0" pivotButton="0" quotePrefix="0" xfId="0"/>
    <xf numFmtId="1" fontId="2" fillId="0" borderId="0" pivotButton="0" quotePrefix="0" xfId="0"/>
    <xf numFmtId="1" fontId="4" fillId="2" borderId="0" pivotButton="0" quotePrefix="0" xfId="0"/>
    <xf numFmtId="168" fontId="2" fillId="2" borderId="0" pivotButton="0" quotePrefix="0" xfId="0"/>
    <xf numFmtId="165" fontId="2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REEF RUN</author>
  </authors>
  <commentList>
    <comment ref="E2" authorId="0" shapeId="0">
      <text>
        <t>Custom amounts above the tier price aren't captured; use the KS dashboard total for money.</t>
      </text>
    </comment>
    <comment ref="E3" authorId="0" shapeId="0">
      <text>
        <t>Custom amounts above the tier price aren't captured; use the KS dashboard total for money.</t>
      </text>
    </comment>
    <comment ref="E4" authorId="0" shapeId="0">
      <text>
        <t>Custom amounts above the tier price aren't captured; use the KS dashboard total for money.</t>
      </text>
    </comment>
    <comment ref="E5" authorId="0" shapeId="0">
      <text>
        <t>Custom amounts above the tier price aren't captured; use the KS dashboard total for money.</t>
      </text>
    </comment>
    <comment ref="E6" authorId="0" shapeId="0">
      <text>
        <t>Custom amounts above the tier price aren't captured; use the KS dashboard total for money.</t>
      </text>
    </comment>
    <comment ref="E7" authorId="0" shapeId="0">
      <text>
        <t>Custom amounts above the tier price aren't captured; use the KS dashboard total for money.</t>
      </text>
    </comment>
    <comment ref="E8" authorId="0" shapeId="0">
      <text>
        <t>Custom amounts above the tier price aren't captured; use the KS dashboard total for money.</t>
      </text>
    </comment>
    <comment ref="E9" authorId="0" shapeId="0">
      <text>
        <t>Custom amounts above the tier price aren't captured; use the KS dashboard total for money.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REEF RUN — Kickstarter campaign dashboard (11_CAMPAIGN_DASHBOARD.md)</t>
        </is>
      </c>
    </row>
    <row r="2">
      <c r="A2" s="2" t="inlineStr">
        <is>
          <t>Inputs: copy the goal and planned average pledge from 03_funding_model.xlsx (Scenarios), set the launch date. No cross-file links, on purpose.</t>
        </is>
      </c>
    </row>
    <row r="3">
      <c r="A3" s="2" t="inlineStr">
        <is>
          <t>Pre-launch: one row per day for the 6 weeks before launch (Kickstarter followers from the pre-launch page, email list, wishlists).</t>
        </is>
      </c>
    </row>
    <row r="4">
      <c r="A4" s="2" t="inlineStr">
        <is>
          <t>Daily: fill one row per campaign day from the Kickstarter creator dashboard (pledged, backers, cancellations, visits by referrer) and your ad accounts.</t>
        </is>
      </c>
    </row>
    <row r="5">
      <c r="A5" s="2" t="inlineStr">
        <is>
          <t>Forecast: three cumulative-share curves (yellow, assumptions). Forecast = pledged so far ÷ share of the total a campaign usually has by that day.</t>
        </is>
      </c>
    </row>
    <row r="6">
      <c r="A6" s="3" t="inlineStr">
        <is>
          <t>Triggers: each row turns red when its condition is met. The response for each is in 11_CAMPAIGN_DASHBOARD.md §4.</t>
        </is>
      </c>
    </row>
    <row r="7">
      <c r="A7" s="2" t="inlineStr">
        <is>
          <t>Grey italic first row in each log = EXAMPLE. Overwrite it with day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60" customWidth="1" min="3" max="3"/>
  </cols>
  <sheetData>
    <row r="1">
      <c r="A1" s="4" t="inlineStr">
        <is>
          <t>Funding goal (EUR)</t>
        </is>
      </c>
      <c r="B1" s="5" t="n">
        <v>14000</v>
      </c>
      <c r="C1" s="4" t="inlineStr">
        <is>
          <t>From 03_funding_model.xlsx → Scenarios, FUNDING GOAL (MVD)</t>
        </is>
      </c>
    </row>
    <row r="2">
      <c r="A2" s="4" t="inlineStr">
        <is>
          <t>Planned average pledge (EUR)</t>
        </is>
      </c>
      <c r="B2" s="6" t="n">
        <v>37.56</v>
      </c>
      <c r="C2" s="4" t="inlineStr">
        <is>
          <t>From 03 → Rewards (blended)</t>
        </is>
      </c>
    </row>
    <row r="3">
      <c r="A3" s="4" t="inlineStr">
        <is>
          <t>Launch date</t>
        </is>
      </c>
      <c r="B3" s="7" t="n">
        <v>46490</v>
      </c>
      <c r="C3" s="4" t="inlineStr">
        <is>
          <t>Provisional (03 §5). Type a real date.</t>
        </is>
      </c>
    </row>
    <row r="4">
      <c r="A4" s="4" t="inlineStr">
        <is>
          <t>Campaign length (days)</t>
        </is>
      </c>
      <c r="B4" s="8" t="n">
        <v>30</v>
      </c>
      <c r="C4" s="4" t="inlineStr">
        <is>
          <t>Max 30 because of Steam key rules (S3)</t>
        </is>
      </c>
    </row>
    <row r="5">
      <c r="A5" s="4" t="inlineStr">
        <is>
          <t>Marketing budget for the campaign (EUR)</t>
        </is>
      </c>
      <c r="B5" s="5" t="n">
        <v>1500</v>
      </c>
      <c r="C5" s="4" t="inlineStr">
        <is>
          <t>03 Costs, MVD (live-campaign ads; v2)</t>
        </is>
      </c>
    </row>
    <row r="6">
      <c r="A6" s="4" t="inlineStr">
        <is>
          <t>Net revenue per backer used to judge ads (EUR)</t>
        </is>
      </c>
      <c r="B6" s="9" t="n">
        <v>28.8</v>
      </c>
      <c r="C6" s="4" t="inlineStr">
        <is>
          <t>≈ average pledge × (1 − 23.3% deductions incl. VAT), from 03 v2</t>
        </is>
      </c>
    </row>
    <row r="7">
      <c r="A7" s="4" t="inlineStr">
        <is>
          <t>Kickstarter followers at launch (type on launch day)</t>
        </is>
      </c>
      <c r="B7" s="8" t="n">
        <v>0</v>
      </c>
      <c r="C7" s="4" t="inlineStr">
        <is>
          <t>From the pre-launch page</t>
        </is>
      </c>
    </row>
    <row r="8">
      <c r="A8" s="4" t="inlineStr">
        <is>
          <t>Cancellation alert threshold (% of pledged)</t>
        </is>
      </c>
      <c r="B8" s="10" t="n">
        <v>0.05</v>
      </c>
      <c r="C8" s="4" t="inlineStr">
        <is>
          <t>Assumption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40" customWidth="1" min="8" max="8"/>
  </cols>
  <sheetData>
    <row r="1" ht="42" customHeight="1">
      <c r="A1" s="11" t="inlineStr">
        <is>
          <t>Days to launch</t>
        </is>
      </c>
      <c r="B1" s="11" t="inlineStr">
        <is>
          <t>Date</t>
        </is>
      </c>
      <c r="C1" s="11" t="inlineStr">
        <is>
          <t>KS followers (total)</t>
        </is>
      </c>
      <c r="D1" s="11" t="inlineStr">
        <is>
          <t>Email subscribers (total)</t>
        </is>
      </c>
      <c r="E1" s="11" t="inlineStr">
        <is>
          <t>Steam wishlists (total)</t>
        </is>
      </c>
      <c r="F1" s="11" t="inlineStr">
        <is>
          <t>Expected launch backers (followers×20% + email×4%)</t>
        </is>
      </c>
      <c r="G1" s="11" t="inlineStr">
        <is>
          <t>Share of goal covered at launch</t>
        </is>
      </c>
      <c r="H1" s="11" t="inlineStr">
        <is>
          <t>Notes</t>
        </is>
      </c>
    </row>
    <row r="2">
      <c r="A2" s="4" t="n">
        <v>42</v>
      </c>
      <c r="B2" s="12">
        <f>Inputs!$B$3-A2</f>
        <v/>
      </c>
      <c r="C2" s="13" t="n">
        <v>310</v>
      </c>
      <c r="D2" s="13" t="n">
        <v>900</v>
      </c>
      <c r="E2" s="13" t="n">
        <v>5200</v>
      </c>
      <c r="F2" s="14">
        <f>IF(C2="","",C2*0.2+D2*0.04)</f>
        <v/>
      </c>
      <c r="G2" s="15">
        <f>IF(F2="","",F2*Inputs!$B$2/Inputs!$B$1)</f>
        <v/>
      </c>
      <c r="H2" s="13" t="inlineStr">
        <is>
          <t>EXAMPLE ROW</t>
        </is>
      </c>
    </row>
    <row r="3">
      <c r="A3" s="4" t="n">
        <v>41</v>
      </c>
      <c r="B3" s="12">
        <f>Inputs!$B$3-A3</f>
        <v/>
      </c>
      <c r="F3" s="14">
        <f>IF(C3="","",C3*0.2+D3*0.04)</f>
        <v/>
      </c>
      <c r="G3" s="15">
        <f>IF(F3="","",F3*Inputs!$B$2/Inputs!$B$1)</f>
        <v/>
      </c>
    </row>
    <row r="4">
      <c r="A4" s="4" t="n">
        <v>40</v>
      </c>
      <c r="B4" s="12">
        <f>Inputs!$B$3-A4</f>
        <v/>
      </c>
      <c r="F4" s="14">
        <f>IF(C4="","",C4*0.2+D4*0.04)</f>
        <v/>
      </c>
      <c r="G4" s="15">
        <f>IF(F4="","",F4*Inputs!$B$2/Inputs!$B$1)</f>
        <v/>
      </c>
    </row>
    <row r="5">
      <c r="A5" s="4" t="n">
        <v>39</v>
      </c>
      <c r="B5" s="12">
        <f>Inputs!$B$3-A5</f>
        <v/>
      </c>
      <c r="F5" s="14">
        <f>IF(C5="","",C5*0.2+D5*0.04)</f>
        <v/>
      </c>
      <c r="G5" s="15">
        <f>IF(F5="","",F5*Inputs!$B$2/Inputs!$B$1)</f>
        <v/>
      </c>
    </row>
    <row r="6">
      <c r="A6" s="4" t="n">
        <v>38</v>
      </c>
      <c r="B6" s="12">
        <f>Inputs!$B$3-A6</f>
        <v/>
      </c>
      <c r="F6" s="14">
        <f>IF(C6="","",C6*0.2+D6*0.04)</f>
        <v/>
      </c>
      <c r="G6" s="15">
        <f>IF(F6="","",F6*Inputs!$B$2/Inputs!$B$1)</f>
        <v/>
      </c>
    </row>
    <row r="7">
      <c r="A7" s="4" t="n">
        <v>37</v>
      </c>
      <c r="B7" s="12">
        <f>Inputs!$B$3-A7</f>
        <v/>
      </c>
      <c r="F7" s="14">
        <f>IF(C7="","",C7*0.2+D7*0.04)</f>
        <v/>
      </c>
      <c r="G7" s="15">
        <f>IF(F7="","",F7*Inputs!$B$2/Inputs!$B$1)</f>
        <v/>
      </c>
    </row>
    <row r="8">
      <c r="A8" s="4" t="n">
        <v>36</v>
      </c>
      <c r="B8" s="12">
        <f>Inputs!$B$3-A8</f>
        <v/>
      </c>
      <c r="F8" s="14">
        <f>IF(C8="","",C8*0.2+D8*0.04)</f>
        <v/>
      </c>
      <c r="G8" s="15">
        <f>IF(F8="","",F8*Inputs!$B$2/Inputs!$B$1)</f>
        <v/>
      </c>
    </row>
    <row r="9">
      <c r="A9" s="4" t="n">
        <v>35</v>
      </c>
      <c r="B9" s="12">
        <f>Inputs!$B$3-A9</f>
        <v/>
      </c>
      <c r="F9" s="14">
        <f>IF(C9="","",C9*0.2+D9*0.04)</f>
        <v/>
      </c>
      <c r="G9" s="15">
        <f>IF(F9="","",F9*Inputs!$B$2/Inputs!$B$1)</f>
        <v/>
      </c>
    </row>
    <row r="10">
      <c r="A10" s="4" t="n">
        <v>34</v>
      </c>
      <c r="B10" s="12">
        <f>Inputs!$B$3-A10</f>
        <v/>
      </c>
      <c r="F10" s="14">
        <f>IF(C10="","",C10*0.2+D10*0.04)</f>
        <v/>
      </c>
      <c r="G10" s="15">
        <f>IF(F10="","",F10*Inputs!$B$2/Inputs!$B$1)</f>
        <v/>
      </c>
    </row>
    <row r="11">
      <c r="A11" s="4" t="n">
        <v>33</v>
      </c>
      <c r="B11" s="12">
        <f>Inputs!$B$3-A11</f>
        <v/>
      </c>
      <c r="F11" s="14">
        <f>IF(C11="","",C11*0.2+D11*0.04)</f>
        <v/>
      </c>
      <c r="G11" s="15">
        <f>IF(F11="","",F11*Inputs!$B$2/Inputs!$B$1)</f>
        <v/>
      </c>
    </row>
    <row r="12">
      <c r="A12" s="4" t="n">
        <v>32</v>
      </c>
      <c r="B12" s="12">
        <f>Inputs!$B$3-A12</f>
        <v/>
      </c>
      <c r="F12" s="14">
        <f>IF(C12="","",C12*0.2+D12*0.04)</f>
        <v/>
      </c>
      <c r="G12" s="15">
        <f>IF(F12="","",F12*Inputs!$B$2/Inputs!$B$1)</f>
        <v/>
      </c>
    </row>
    <row r="13">
      <c r="A13" s="4" t="n">
        <v>31</v>
      </c>
      <c r="B13" s="12">
        <f>Inputs!$B$3-A13</f>
        <v/>
      </c>
      <c r="F13" s="14">
        <f>IF(C13="","",C13*0.2+D13*0.04)</f>
        <v/>
      </c>
      <c r="G13" s="15">
        <f>IF(F13="","",F13*Inputs!$B$2/Inputs!$B$1)</f>
        <v/>
      </c>
    </row>
    <row r="14">
      <c r="A14" s="4" t="n">
        <v>30</v>
      </c>
      <c r="B14" s="12">
        <f>Inputs!$B$3-A14</f>
        <v/>
      </c>
      <c r="F14" s="14">
        <f>IF(C14="","",C14*0.2+D14*0.04)</f>
        <v/>
      </c>
      <c r="G14" s="15">
        <f>IF(F14="","",F14*Inputs!$B$2/Inputs!$B$1)</f>
        <v/>
      </c>
    </row>
    <row r="15">
      <c r="A15" s="4" t="n">
        <v>29</v>
      </c>
      <c r="B15" s="12">
        <f>Inputs!$B$3-A15</f>
        <v/>
      </c>
      <c r="F15" s="14">
        <f>IF(C15="","",C15*0.2+D15*0.04)</f>
        <v/>
      </c>
      <c r="G15" s="15">
        <f>IF(F15="","",F15*Inputs!$B$2/Inputs!$B$1)</f>
        <v/>
      </c>
    </row>
    <row r="16">
      <c r="A16" s="4" t="n">
        <v>28</v>
      </c>
      <c r="B16" s="12">
        <f>Inputs!$B$3-A16</f>
        <v/>
      </c>
      <c r="F16" s="14">
        <f>IF(C16="","",C16*0.2+D16*0.04)</f>
        <v/>
      </c>
      <c r="G16" s="15">
        <f>IF(F16="","",F16*Inputs!$B$2/Inputs!$B$1)</f>
        <v/>
      </c>
    </row>
    <row r="17">
      <c r="A17" s="4" t="n">
        <v>27</v>
      </c>
      <c r="B17" s="12">
        <f>Inputs!$B$3-A17</f>
        <v/>
      </c>
      <c r="F17" s="14">
        <f>IF(C17="","",C17*0.2+D17*0.04)</f>
        <v/>
      </c>
      <c r="G17" s="15">
        <f>IF(F17="","",F17*Inputs!$B$2/Inputs!$B$1)</f>
        <v/>
      </c>
    </row>
    <row r="18">
      <c r="A18" s="4" t="n">
        <v>26</v>
      </c>
      <c r="B18" s="12">
        <f>Inputs!$B$3-A18</f>
        <v/>
      </c>
      <c r="F18" s="14">
        <f>IF(C18="","",C18*0.2+D18*0.04)</f>
        <v/>
      </c>
      <c r="G18" s="15">
        <f>IF(F18="","",F18*Inputs!$B$2/Inputs!$B$1)</f>
        <v/>
      </c>
    </row>
    <row r="19">
      <c r="A19" s="4" t="n">
        <v>25</v>
      </c>
      <c r="B19" s="12">
        <f>Inputs!$B$3-A19</f>
        <v/>
      </c>
      <c r="F19" s="14">
        <f>IF(C19="","",C19*0.2+D19*0.04)</f>
        <v/>
      </c>
      <c r="G19" s="15">
        <f>IF(F19="","",F19*Inputs!$B$2/Inputs!$B$1)</f>
        <v/>
      </c>
    </row>
    <row r="20">
      <c r="A20" s="4" t="n">
        <v>24</v>
      </c>
      <c r="B20" s="12">
        <f>Inputs!$B$3-A20</f>
        <v/>
      </c>
      <c r="F20" s="14">
        <f>IF(C20="","",C20*0.2+D20*0.04)</f>
        <v/>
      </c>
      <c r="G20" s="15">
        <f>IF(F20="","",F20*Inputs!$B$2/Inputs!$B$1)</f>
        <v/>
      </c>
    </row>
    <row r="21">
      <c r="A21" s="4" t="n">
        <v>23</v>
      </c>
      <c r="B21" s="12">
        <f>Inputs!$B$3-A21</f>
        <v/>
      </c>
      <c r="F21" s="14">
        <f>IF(C21="","",C21*0.2+D21*0.04)</f>
        <v/>
      </c>
      <c r="G21" s="15">
        <f>IF(F21="","",F21*Inputs!$B$2/Inputs!$B$1)</f>
        <v/>
      </c>
    </row>
    <row r="22">
      <c r="A22" s="4" t="n">
        <v>22</v>
      </c>
      <c r="B22" s="12">
        <f>Inputs!$B$3-A22</f>
        <v/>
      </c>
      <c r="F22" s="14">
        <f>IF(C22="","",C22*0.2+D22*0.04)</f>
        <v/>
      </c>
      <c r="G22" s="15">
        <f>IF(F22="","",F22*Inputs!$B$2/Inputs!$B$1)</f>
        <v/>
      </c>
    </row>
    <row r="23">
      <c r="A23" s="4" t="n">
        <v>21</v>
      </c>
      <c r="B23" s="12">
        <f>Inputs!$B$3-A23</f>
        <v/>
      </c>
      <c r="F23" s="14">
        <f>IF(C23="","",C23*0.2+D23*0.04)</f>
        <v/>
      </c>
      <c r="G23" s="15">
        <f>IF(F23="","",F23*Inputs!$B$2/Inputs!$B$1)</f>
        <v/>
      </c>
    </row>
    <row r="24">
      <c r="A24" s="4" t="n">
        <v>20</v>
      </c>
      <c r="B24" s="12">
        <f>Inputs!$B$3-A24</f>
        <v/>
      </c>
      <c r="F24" s="14">
        <f>IF(C24="","",C24*0.2+D24*0.04)</f>
        <v/>
      </c>
      <c r="G24" s="15">
        <f>IF(F24="","",F24*Inputs!$B$2/Inputs!$B$1)</f>
        <v/>
      </c>
    </row>
    <row r="25">
      <c r="A25" s="4" t="n">
        <v>19</v>
      </c>
      <c r="B25" s="12">
        <f>Inputs!$B$3-A25</f>
        <v/>
      </c>
      <c r="F25" s="14">
        <f>IF(C25="","",C25*0.2+D25*0.04)</f>
        <v/>
      </c>
      <c r="G25" s="15">
        <f>IF(F25="","",F25*Inputs!$B$2/Inputs!$B$1)</f>
        <v/>
      </c>
    </row>
    <row r="26">
      <c r="A26" s="4" t="n">
        <v>18</v>
      </c>
      <c r="B26" s="12">
        <f>Inputs!$B$3-A26</f>
        <v/>
      </c>
      <c r="F26" s="14">
        <f>IF(C26="","",C26*0.2+D26*0.04)</f>
        <v/>
      </c>
      <c r="G26" s="15">
        <f>IF(F26="","",F26*Inputs!$B$2/Inputs!$B$1)</f>
        <v/>
      </c>
    </row>
    <row r="27">
      <c r="A27" s="4" t="n">
        <v>17</v>
      </c>
      <c r="B27" s="12">
        <f>Inputs!$B$3-A27</f>
        <v/>
      </c>
      <c r="F27" s="14">
        <f>IF(C27="","",C27*0.2+D27*0.04)</f>
        <v/>
      </c>
      <c r="G27" s="15">
        <f>IF(F27="","",F27*Inputs!$B$2/Inputs!$B$1)</f>
        <v/>
      </c>
    </row>
    <row r="28">
      <c r="A28" s="4" t="n">
        <v>16</v>
      </c>
      <c r="B28" s="12">
        <f>Inputs!$B$3-A28</f>
        <v/>
      </c>
      <c r="F28" s="14">
        <f>IF(C28="","",C28*0.2+D28*0.04)</f>
        <v/>
      </c>
      <c r="G28" s="15">
        <f>IF(F28="","",F28*Inputs!$B$2/Inputs!$B$1)</f>
        <v/>
      </c>
    </row>
    <row r="29">
      <c r="A29" s="4" t="n">
        <v>15</v>
      </c>
      <c r="B29" s="12">
        <f>Inputs!$B$3-A29</f>
        <v/>
      </c>
      <c r="F29" s="14">
        <f>IF(C29="","",C29*0.2+D29*0.04)</f>
        <v/>
      </c>
      <c r="G29" s="15">
        <f>IF(F29="","",F29*Inputs!$B$2/Inputs!$B$1)</f>
        <v/>
      </c>
    </row>
    <row r="30">
      <c r="A30" s="4" t="n">
        <v>14</v>
      </c>
      <c r="B30" s="12">
        <f>Inputs!$B$3-A30</f>
        <v/>
      </c>
      <c r="F30" s="14">
        <f>IF(C30="","",C30*0.2+D30*0.04)</f>
        <v/>
      </c>
      <c r="G30" s="15">
        <f>IF(F30="","",F30*Inputs!$B$2/Inputs!$B$1)</f>
        <v/>
      </c>
    </row>
    <row r="31">
      <c r="A31" s="4" t="n">
        <v>13</v>
      </c>
      <c r="B31" s="12">
        <f>Inputs!$B$3-A31</f>
        <v/>
      </c>
      <c r="F31" s="14">
        <f>IF(C31="","",C31*0.2+D31*0.04)</f>
        <v/>
      </c>
      <c r="G31" s="15">
        <f>IF(F31="","",F31*Inputs!$B$2/Inputs!$B$1)</f>
        <v/>
      </c>
    </row>
    <row r="32">
      <c r="A32" s="4" t="n">
        <v>12</v>
      </c>
      <c r="B32" s="12">
        <f>Inputs!$B$3-A32</f>
        <v/>
      </c>
      <c r="F32" s="14">
        <f>IF(C32="","",C32*0.2+D32*0.04)</f>
        <v/>
      </c>
      <c r="G32" s="15">
        <f>IF(F32="","",F32*Inputs!$B$2/Inputs!$B$1)</f>
        <v/>
      </c>
    </row>
    <row r="33">
      <c r="A33" s="4" t="n">
        <v>11</v>
      </c>
      <c r="B33" s="12">
        <f>Inputs!$B$3-A33</f>
        <v/>
      </c>
      <c r="F33" s="14">
        <f>IF(C33="","",C33*0.2+D33*0.04)</f>
        <v/>
      </c>
      <c r="G33" s="15">
        <f>IF(F33="","",F33*Inputs!$B$2/Inputs!$B$1)</f>
        <v/>
      </c>
    </row>
    <row r="34">
      <c r="A34" s="4" t="n">
        <v>10</v>
      </c>
      <c r="B34" s="12">
        <f>Inputs!$B$3-A34</f>
        <v/>
      </c>
      <c r="F34" s="14">
        <f>IF(C34="","",C34*0.2+D34*0.04)</f>
        <v/>
      </c>
      <c r="G34" s="15">
        <f>IF(F34="","",F34*Inputs!$B$2/Inputs!$B$1)</f>
        <v/>
      </c>
    </row>
    <row r="35">
      <c r="A35" s="4" t="n">
        <v>9</v>
      </c>
      <c r="B35" s="12">
        <f>Inputs!$B$3-A35</f>
        <v/>
      </c>
      <c r="F35" s="14">
        <f>IF(C35="","",C35*0.2+D35*0.04)</f>
        <v/>
      </c>
      <c r="G35" s="15">
        <f>IF(F35="","",F35*Inputs!$B$2/Inputs!$B$1)</f>
        <v/>
      </c>
    </row>
    <row r="36">
      <c r="A36" s="4" t="n">
        <v>8</v>
      </c>
      <c r="B36" s="12">
        <f>Inputs!$B$3-A36</f>
        <v/>
      </c>
      <c r="F36" s="14">
        <f>IF(C36="","",C36*0.2+D36*0.04)</f>
        <v/>
      </c>
      <c r="G36" s="15">
        <f>IF(F36="","",F36*Inputs!$B$2/Inputs!$B$1)</f>
        <v/>
      </c>
    </row>
    <row r="37">
      <c r="A37" s="4" t="n">
        <v>7</v>
      </c>
      <c r="B37" s="12">
        <f>Inputs!$B$3-A37</f>
        <v/>
      </c>
      <c r="F37" s="14">
        <f>IF(C37="","",C37*0.2+D37*0.04)</f>
        <v/>
      </c>
      <c r="G37" s="15">
        <f>IF(F37="","",F37*Inputs!$B$2/Inputs!$B$1)</f>
        <v/>
      </c>
    </row>
    <row r="38">
      <c r="A38" s="4" t="n">
        <v>6</v>
      </c>
      <c r="B38" s="12">
        <f>Inputs!$B$3-A38</f>
        <v/>
      </c>
      <c r="F38" s="14">
        <f>IF(C38="","",C38*0.2+D38*0.04)</f>
        <v/>
      </c>
      <c r="G38" s="15">
        <f>IF(F38="","",F38*Inputs!$B$2/Inputs!$B$1)</f>
        <v/>
      </c>
    </row>
    <row r="39">
      <c r="A39" s="4" t="n">
        <v>5</v>
      </c>
      <c r="B39" s="12">
        <f>Inputs!$B$3-A39</f>
        <v/>
      </c>
      <c r="F39" s="14">
        <f>IF(C39="","",C39*0.2+D39*0.04)</f>
        <v/>
      </c>
      <c r="G39" s="15">
        <f>IF(F39="","",F39*Inputs!$B$2/Inputs!$B$1)</f>
        <v/>
      </c>
    </row>
    <row r="40">
      <c r="A40" s="4" t="n">
        <v>4</v>
      </c>
      <c r="B40" s="12">
        <f>Inputs!$B$3-A40</f>
        <v/>
      </c>
      <c r="F40" s="14">
        <f>IF(C40="","",C40*0.2+D40*0.04)</f>
        <v/>
      </c>
      <c r="G40" s="15">
        <f>IF(F40="","",F40*Inputs!$B$2/Inputs!$B$1)</f>
        <v/>
      </c>
    </row>
    <row r="41">
      <c r="A41" s="4" t="n">
        <v>3</v>
      </c>
      <c r="B41" s="12">
        <f>Inputs!$B$3-A41</f>
        <v/>
      </c>
      <c r="F41" s="14">
        <f>IF(C41="","",C41*0.2+D41*0.04)</f>
        <v/>
      </c>
      <c r="G41" s="15">
        <f>IF(F41="","",F41*Inputs!$B$2/Inputs!$B$1)</f>
        <v/>
      </c>
    </row>
    <row r="42">
      <c r="A42" s="4" t="n">
        <v>2</v>
      </c>
      <c r="B42" s="12">
        <f>Inputs!$B$3-A42</f>
        <v/>
      </c>
      <c r="F42" s="14">
        <f>IF(C42="","",C42*0.2+D42*0.04)</f>
        <v/>
      </c>
      <c r="G42" s="15">
        <f>IF(F42="","",F42*Inputs!$B$2/Inputs!$B$1)</f>
        <v/>
      </c>
    </row>
    <row r="43">
      <c r="A43" s="4" t="n">
        <v>1</v>
      </c>
      <c r="B43" s="12">
        <f>Inputs!$B$3-A43</f>
        <v/>
      </c>
      <c r="F43" s="14">
        <f>IF(C43="","",C43*0.2+D43*0.04)</f>
        <v/>
      </c>
      <c r="G43" s="15">
        <f>IF(F43="","",F43*Inputs!$B$2/Inputs!$B$1)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10" customWidth="1" min="4" max="4"/>
    <col width="11" customWidth="1" min="5" max="5"/>
    <col width="10" customWidth="1" min="6" max="6"/>
    <col width="12" customWidth="1" min="7" max="7"/>
    <col width="11" customWidth="1" min="8" max="8"/>
    <col width="9" customWidth="1" min="9" max="9"/>
    <col width="10" customWidth="1" min="10" max="10"/>
    <col width="9" customWidth="1" min="11" max="11"/>
    <col width="11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10" customWidth="1" min="18" max="18"/>
    <col width="10" customWidth="1" min="19" max="19"/>
    <col width="10" customWidth="1" min="20" max="20"/>
    <col width="8" customWidth="1" min="21" max="21"/>
    <col width="12" customWidth="1" min="22" max="22"/>
    <col width="40" customWidth="1" min="23" max="23"/>
  </cols>
  <sheetData>
    <row r="1" ht="42" customHeight="1">
      <c r="A1" s="11" t="inlineStr">
        <is>
          <t>Day</t>
        </is>
      </c>
      <c r="B1" s="11" t="inlineStr">
        <is>
          <t>Date</t>
        </is>
      </c>
      <c r="C1" s="11" t="inlineStr">
        <is>
          <t>Pledged today (EUR)</t>
        </is>
      </c>
      <c r="D1" s="11" t="inlineStr">
        <is>
          <t>New backers today</t>
        </is>
      </c>
      <c r="E1" s="11" t="inlineStr">
        <is>
          <t>Cancelled today (EUR)</t>
        </is>
      </c>
      <c r="F1" s="11" t="inlineStr">
        <is>
          <t>Cancelled backers today</t>
        </is>
      </c>
      <c r="G1" s="11" t="inlineStr">
        <is>
          <t>Net pledged (cumulative)</t>
        </is>
      </c>
      <c r="H1" s="11" t="inlineStr">
        <is>
          <t>Backers (cumulative)</t>
        </is>
      </c>
      <c r="I1" s="11" t="inlineStr">
        <is>
          <t>Funded %</t>
        </is>
      </c>
      <c r="J1" s="11" t="inlineStr">
        <is>
          <t>Average pledge</t>
        </is>
      </c>
      <c r="K1" s="11" t="inlineStr">
        <is>
          <t>Visits today</t>
        </is>
      </c>
      <c r="L1" s="11" t="inlineStr">
        <is>
          <t>Conversion (new backers ÷ visits)</t>
        </is>
      </c>
      <c r="M1" s="11" t="inlineStr">
        <is>
          <t>Visits: Kickstarter</t>
        </is>
      </c>
      <c r="N1" s="11" t="inlineStr">
        <is>
          <t>Visits: email</t>
        </is>
      </c>
      <c r="O1" s="11" t="inlineStr">
        <is>
          <t>Visits: social</t>
        </is>
      </c>
      <c r="P1" s="11" t="inlineStr">
        <is>
          <t>Visits: creators/press</t>
        </is>
      </c>
      <c r="Q1" s="11" t="inlineStr">
        <is>
          <t>Visits: ads</t>
        </is>
      </c>
      <c r="R1" s="11" t="inlineStr">
        <is>
          <t>Ad spend today (EUR)</t>
        </is>
      </c>
      <c r="S1" s="11" t="inlineStr">
        <is>
          <t>Ad-attributed backers</t>
        </is>
      </c>
      <c r="T1" s="11" t="inlineStr">
        <is>
          <t>Ad cost per backer</t>
        </is>
      </c>
      <c r="U1" s="11" t="inlineStr">
        <is>
          <t>Days left</t>
        </is>
      </c>
      <c r="V1" s="11" t="inlineStr">
        <is>
          <t>Needed per remaining day (EUR)</t>
        </is>
      </c>
      <c r="W1" s="11" t="inlineStr">
        <is>
          <t>Notes / what we did</t>
        </is>
      </c>
    </row>
    <row r="2">
      <c r="A2" s="4" t="n">
        <v>1</v>
      </c>
      <c r="B2" s="12">
        <f>Inputs!$B$3+A2-1</f>
        <v/>
      </c>
      <c r="C2" s="13" t="n">
        <v>2900</v>
      </c>
      <c r="D2" s="13" t="n">
        <v>101</v>
      </c>
      <c r="E2" s="13" t="n">
        <v>0</v>
      </c>
      <c r="F2" s="13" t="n">
        <v>0</v>
      </c>
      <c r="G2" s="16">
        <f>IF(C2="","",SUM($C$2:C2)-SUM($E$2:E2))</f>
        <v/>
      </c>
      <c r="H2" s="14">
        <f>IF(D2="","",SUM($D$2:D2)-SUM($F$2:F2))</f>
        <v/>
      </c>
      <c r="I2" s="15">
        <f>IF(G2="","",G2/Inputs!$B$1)</f>
        <v/>
      </c>
      <c r="J2" s="17">
        <f>IF(OR(H2="",H2=0),"",G2/H2)</f>
        <v/>
      </c>
      <c r="K2" s="13" t="n">
        <v>1650</v>
      </c>
      <c r="L2" s="15">
        <f>IF(OR(K2="",K2=0),"",D2/K2)</f>
        <v/>
      </c>
      <c r="M2" s="13" t="n">
        <v>700</v>
      </c>
      <c r="N2" s="13" t="n">
        <v>380</v>
      </c>
      <c r="O2" s="13" t="n">
        <v>320</v>
      </c>
      <c r="P2" s="13" t="n">
        <v>150</v>
      </c>
      <c r="Q2" s="13" t="n">
        <v>100</v>
      </c>
      <c r="R2" s="13" t="n">
        <v>60</v>
      </c>
      <c r="S2" s="13" t="n">
        <v>2</v>
      </c>
      <c r="T2" s="17">
        <f>IF(OR(S2="",S2=0),"",R2/S2)</f>
        <v/>
      </c>
      <c r="U2" s="14">
        <f>Inputs!$B$4-A2</f>
        <v/>
      </c>
      <c r="V2" s="16">
        <f>IF(OR(G2="",U2&lt;=0),"",MAX(0,Inputs!$B$1-G2)/U2)</f>
        <v/>
      </c>
      <c r="W2" s="13" t="inlineStr">
        <is>
          <t>EXAMPLE ROW — replace with real day 1</t>
        </is>
      </c>
    </row>
    <row r="3">
      <c r="A3" s="4" t="n">
        <v>2</v>
      </c>
      <c r="B3" s="12">
        <f>Inputs!$B$3+A3-1</f>
        <v/>
      </c>
      <c r="G3" s="16">
        <f>IF(C3="","",SUM($C$2:C3)-SUM($E$2:E3))</f>
        <v/>
      </c>
      <c r="H3" s="14">
        <f>IF(D3="","",SUM($D$2:D3)-SUM($F$2:F3))</f>
        <v/>
      </c>
      <c r="I3" s="15">
        <f>IF(G3="","",G3/Inputs!$B$1)</f>
        <v/>
      </c>
      <c r="J3" s="17">
        <f>IF(OR(H3="",H3=0),"",G3/H3)</f>
        <v/>
      </c>
      <c r="L3" s="15">
        <f>IF(OR(K3="",K3=0),"",D3/K3)</f>
        <v/>
      </c>
      <c r="T3" s="17">
        <f>IF(OR(S3="",S3=0),"",R3/S3)</f>
        <v/>
      </c>
      <c r="U3" s="14">
        <f>Inputs!$B$4-A3</f>
        <v/>
      </c>
      <c r="V3" s="16">
        <f>IF(OR(G3="",U3&lt;=0),"",MAX(0,Inputs!$B$1-G3)/U3)</f>
        <v/>
      </c>
    </row>
    <row r="4">
      <c r="A4" s="4" t="n">
        <v>3</v>
      </c>
      <c r="B4" s="12">
        <f>Inputs!$B$3+A4-1</f>
        <v/>
      </c>
      <c r="G4" s="16">
        <f>IF(C4="","",SUM($C$2:C4)-SUM($E$2:E4))</f>
        <v/>
      </c>
      <c r="H4" s="14">
        <f>IF(D4="","",SUM($D$2:D4)-SUM($F$2:F4))</f>
        <v/>
      </c>
      <c r="I4" s="15">
        <f>IF(G4="","",G4/Inputs!$B$1)</f>
        <v/>
      </c>
      <c r="J4" s="17">
        <f>IF(OR(H4="",H4=0),"",G4/H4)</f>
        <v/>
      </c>
      <c r="L4" s="15">
        <f>IF(OR(K4="",K4=0),"",D4/K4)</f>
        <v/>
      </c>
      <c r="T4" s="17">
        <f>IF(OR(S4="",S4=0),"",R4/S4)</f>
        <v/>
      </c>
      <c r="U4" s="14">
        <f>Inputs!$B$4-A4</f>
        <v/>
      </c>
      <c r="V4" s="16">
        <f>IF(OR(G4="",U4&lt;=0),"",MAX(0,Inputs!$B$1-G4)/U4)</f>
        <v/>
      </c>
    </row>
    <row r="5">
      <c r="A5" s="4" t="n">
        <v>4</v>
      </c>
      <c r="B5" s="12">
        <f>Inputs!$B$3+A5-1</f>
        <v/>
      </c>
      <c r="G5" s="16">
        <f>IF(C5="","",SUM($C$2:C5)-SUM($E$2:E5))</f>
        <v/>
      </c>
      <c r="H5" s="14">
        <f>IF(D5="","",SUM($D$2:D5)-SUM($F$2:F5))</f>
        <v/>
      </c>
      <c r="I5" s="15">
        <f>IF(G5="","",G5/Inputs!$B$1)</f>
        <v/>
      </c>
      <c r="J5" s="17">
        <f>IF(OR(H5="",H5=0),"",G5/H5)</f>
        <v/>
      </c>
      <c r="L5" s="15">
        <f>IF(OR(K5="",K5=0),"",D5/K5)</f>
        <v/>
      </c>
      <c r="T5" s="17">
        <f>IF(OR(S5="",S5=0),"",R5/S5)</f>
        <v/>
      </c>
      <c r="U5" s="14">
        <f>Inputs!$B$4-A5</f>
        <v/>
      </c>
      <c r="V5" s="16">
        <f>IF(OR(G5="",U5&lt;=0),"",MAX(0,Inputs!$B$1-G5)/U5)</f>
        <v/>
      </c>
    </row>
    <row r="6">
      <c r="A6" s="4" t="n">
        <v>5</v>
      </c>
      <c r="B6" s="12">
        <f>Inputs!$B$3+A6-1</f>
        <v/>
      </c>
      <c r="G6" s="16">
        <f>IF(C6="","",SUM($C$2:C6)-SUM($E$2:E6))</f>
        <v/>
      </c>
      <c r="H6" s="14">
        <f>IF(D6="","",SUM($D$2:D6)-SUM($F$2:F6))</f>
        <v/>
      </c>
      <c r="I6" s="15">
        <f>IF(G6="","",G6/Inputs!$B$1)</f>
        <v/>
      </c>
      <c r="J6" s="17">
        <f>IF(OR(H6="",H6=0),"",G6/H6)</f>
        <v/>
      </c>
      <c r="L6" s="15">
        <f>IF(OR(K6="",K6=0),"",D6/K6)</f>
        <v/>
      </c>
      <c r="T6" s="17">
        <f>IF(OR(S6="",S6=0),"",R6/S6)</f>
        <v/>
      </c>
      <c r="U6" s="14">
        <f>Inputs!$B$4-A6</f>
        <v/>
      </c>
      <c r="V6" s="16">
        <f>IF(OR(G6="",U6&lt;=0),"",MAX(0,Inputs!$B$1-G6)/U6)</f>
        <v/>
      </c>
    </row>
    <row r="7">
      <c r="A7" s="4" t="n">
        <v>6</v>
      </c>
      <c r="B7" s="12">
        <f>Inputs!$B$3+A7-1</f>
        <v/>
      </c>
      <c r="G7" s="16">
        <f>IF(C7="","",SUM($C$2:C7)-SUM($E$2:E7))</f>
        <v/>
      </c>
      <c r="H7" s="14">
        <f>IF(D7="","",SUM($D$2:D7)-SUM($F$2:F7))</f>
        <v/>
      </c>
      <c r="I7" s="15">
        <f>IF(G7="","",G7/Inputs!$B$1)</f>
        <v/>
      </c>
      <c r="J7" s="17">
        <f>IF(OR(H7="",H7=0),"",G7/H7)</f>
        <v/>
      </c>
      <c r="L7" s="15">
        <f>IF(OR(K7="",K7=0),"",D7/K7)</f>
        <v/>
      </c>
      <c r="T7" s="17">
        <f>IF(OR(S7="",S7=0),"",R7/S7)</f>
        <v/>
      </c>
      <c r="U7" s="14">
        <f>Inputs!$B$4-A7</f>
        <v/>
      </c>
      <c r="V7" s="16">
        <f>IF(OR(G7="",U7&lt;=0),"",MAX(0,Inputs!$B$1-G7)/U7)</f>
        <v/>
      </c>
    </row>
    <row r="8">
      <c r="A8" s="4" t="n">
        <v>7</v>
      </c>
      <c r="B8" s="12">
        <f>Inputs!$B$3+A8-1</f>
        <v/>
      </c>
      <c r="G8" s="16">
        <f>IF(C8="","",SUM($C$2:C8)-SUM($E$2:E8))</f>
        <v/>
      </c>
      <c r="H8" s="14">
        <f>IF(D8="","",SUM($D$2:D8)-SUM($F$2:F8))</f>
        <v/>
      </c>
      <c r="I8" s="15">
        <f>IF(G8="","",G8/Inputs!$B$1)</f>
        <v/>
      </c>
      <c r="J8" s="17">
        <f>IF(OR(H8="",H8=0),"",G8/H8)</f>
        <v/>
      </c>
      <c r="L8" s="15">
        <f>IF(OR(K8="",K8=0),"",D8/K8)</f>
        <v/>
      </c>
      <c r="T8" s="17">
        <f>IF(OR(S8="",S8=0),"",R8/S8)</f>
        <v/>
      </c>
      <c r="U8" s="14">
        <f>Inputs!$B$4-A8</f>
        <v/>
      </c>
      <c r="V8" s="16">
        <f>IF(OR(G8="",U8&lt;=0),"",MAX(0,Inputs!$B$1-G8)/U8)</f>
        <v/>
      </c>
    </row>
    <row r="9">
      <c r="A9" s="4" t="n">
        <v>8</v>
      </c>
      <c r="B9" s="12">
        <f>Inputs!$B$3+A9-1</f>
        <v/>
      </c>
      <c r="G9" s="16">
        <f>IF(C9="","",SUM($C$2:C9)-SUM($E$2:E9))</f>
        <v/>
      </c>
      <c r="H9" s="14">
        <f>IF(D9="","",SUM($D$2:D9)-SUM($F$2:F9))</f>
        <v/>
      </c>
      <c r="I9" s="15">
        <f>IF(G9="","",G9/Inputs!$B$1)</f>
        <v/>
      </c>
      <c r="J9" s="17">
        <f>IF(OR(H9="",H9=0),"",G9/H9)</f>
        <v/>
      </c>
      <c r="L9" s="15">
        <f>IF(OR(K9="",K9=0),"",D9/K9)</f>
        <v/>
      </c>
      <c r="T9" s="17">
        <f>IF(OR(S9="",S9=0),"",R9/S9)</f>
        <v/>
      </c>
      <c r="U9" s="14">
        <f>Inputs!$B$4-A9</f>
        <v/>
      </c>
      <c r="V9" s="16">
        <f>IF(OR(G9="",U9&lt;=0),"",MAX(0,Inputs!$B$1-G9)/U9)</f>
        <v/>
      </c>
    </row>
    <row r="10">
      <c r="A10" s="4" t="n">
        <v>9</v>
      </c>
      <c r="B10" s="12">
        <f>Inputs!$B$3+A10-1</f>
        <v/>
      </c>
      <c r="G10" s="16">
        <f>IF(C10="","",SUM($C$2:C10)-SUM($E$2:E10))</f>
        <v/>
      </c>
      <c r="H10" s="14">
        <f>IF(D10="","",SUM($D$2:D10)-SUM($F$2:F10))</f>
        <v/>
      </c>
      <c r="I10" s="15">
        <f>IF(G10="","",G10/Inputs!$B$1)</f>
        <v/>
      </c>
      <c r="J10" s="17">
        <f>IF(OR(H10="",H10=0),"",G10/H10)</f>
        <v/>
      </c>
      <c r="L10" s="15">
        <f>IF(OR(K10="",K10=0),"",D10/K10)</f>
        <v/>
      </c>
      <c r="T10" s="17">
        <f>IF(OR(S10="",S10=0),"",R10/S10)</f>
        <v/>
      </c>
      <c r="U10" s="14">
        <f>Inputs!$B$4-A10</f>
        <v/>
      </c>
      <c r="V10" s="16">
        <f>IF(OR(G10="",U10&lt;=0),"",MAX(0,Inputs!$B$1-G10)/U10)</f>
        <v/>
      </c>
    </row>
    <row r="11">
      <c r="A11" s="4" t="n">
        <v>10</v>
      </c>
      <c r="B11" s="12">
        <f>Inputs!$B$3+A11-1</f>
        <v/>
      </c>
      <c r="G11" s="16">
        <f>IF(C11="","",SUM($C$2:C11)-SUM($E$2:E11))</f>
        <v/>
      </c>
      <c r="H11" s="14">
        <f>IF(D11="","",SUM($D$2:D11)-SUM($F$2:F11))</f>
        <v/>
      </c>
      <c r="I11" s="15">
        <f>IF(G11="","",G11/Inputs!$B$1)</f>
        <v/>
      </c>
      <c r="J11" s="17">
        <f>IF(OR(H11="",H11=0),"",G11/H11)</f>
        <v/>
      </c>
      <c r="L11" s="15">
        <f>IF(OR(K11="",K11=0),"",D11/K11)</f>
        <v/>
      </c>
      <c r="T11" s="17">
        <f>IF(OR(S11="",S11=0),"",R11/S11)</f>
        <v/>
      </c>
      <c r="U11" s="14">
        <f>Inputs!$B$4-A11</f>
        <v/>
      </c>
      <c r="V11" s="16">
        <f>IF(OR(G11="",U11&lt;=0),"",MAX(0,Inputs!$B$1-G11)/U11)</f>
        <v/>
      </c>
    </row>
    <row r="12">
      <c r="A12" s="4" t="n">
        <v>11</v>
      </c>
      <c r="B12" s="12">
        <f>Inputs!$B$3+A12-1</f>
        <v/>
      </c>
      <c r="G12" s="16">
        <f>IF(C12="","",SUM($C$2:C12)-SUM($E$2:E12))</f>
        <v/>
      </c>
      <c r="H12" s="14">
        <f>IF(D12="","",SUM($D$2:D12)-SUM($F$2:F12))</f>
        <v/>
      </c>
      <c r="I12" s="15">
        <f>IF(G12="","",G12/Inputs!$B$1)</f>
        <v/>
      </c>
      <c r="J12" s="17">
        <f>IF(OR(H12="",H12=0),"",G12/H12)</f>
        <v/>
      </c>
      <c r="L12" s="15">
        <f>IF(OR(K12="",K12=0),"",D12/K12)</f>
        <v/>
      </c>
      <c r="T12" s="17">
        <f>IF(OR(S12="",S12=0),"",R12/S12)</f>
        <v/>
      </c>
      <c r="U12" s="14">
        <f>Inputs!$B$4-A12</f>
        <v/>
      </c>
      <c r="V12" s="16">
        <f>IF(OR(G12="",U12&lt;=0),"",MAX(0,Inputs!$B$1-G12)/U12)</f>
        <v/>
      </c>
    </row>
    <row r="13">
      <c r="A13" s="4" t="n">
        <v>12</v>
      </c>
      <c r="B13" s="12">
        <f>Inputs!$B$3+A13-1</f>
        <v/>
      </c>
      <c r="G13" s="16">
        <f>IF(C13="","",SUM($C$2:C13)-SUM($E$2:E13))</f>
        <v/>
      </c>
      <c r="H13" s="14">
        <f>IF(D13="","",SUM($D$2:D13)-SUM($F$2:F13))</f>
        <v/>
      </c>
      <c r="I13" s="15">
        <f>IF(G13="","",G13/Inputs!$B$1)</f>
        <v/>
      </c>
      <c r="J13" s="17">
        <f>IF(OR(H13="",H13=0),"",G13/H13)</f>
        <v/>
      </c>
      <c r="L13" s="15">
        <f>IF(OR(K13="",K13=0),"",D13/K13)</f>
        <v/>
      </c>
      <c r="T13" s="17">
        <f>IF(OR(S13="",S13=0),"",R13/S13)</f>
        <v/>
      </c>
      <c r="U13" s="14">
        <f>Inputs!$B$4-A13</f>
        <v/>
      </c>
      <c r="V13" s="16">
        <f>IF(OR(G13="",U13&lt;=0),"",MAX(0,Inputs!$B$1-G13)/U13)</f>
        <v/>
      </c>
    </row>
    <row r="14">
      <c r="A14" s="4" t="n">
        <v>13</v>
      </c>
      <c r="B14" s="12">
        <f>Inputs!$B$3+A14-1</f>
        <v/>
      </c>
      <c r="G14" s="16">
        <f>IF(C14="","",SUM($C$2:C14)-SUM($E$2:E14))</f>
        <v/>
      </c>
      <c r="H14" s="14">
        <f>IF(D14="","",SUM($D$2:D14)-SUM($F$2:F14))</f>
        <v/>
      </c>
      <c r="I14" s="15">
        <f>IF(G14="","",G14/Inputs!$B$1)</f>
        <v/>
      </c>
      <c r="J14" s="17">
        <f>IF(OR(H14="",H14=0),"",G14/H14)</f>
        <v/>
      </c>
      <c r="L14" s="15">
        <f>IF(OR(K14="",K14=0),"",D14/K14)</f>
        <v/>
      </c>
      <c r="T14" s="17">
        <f>IF(OR(S14="",S14=0),"",R14/S14)</f>
        <v/>
      </c>
      <c r="U14" s="14">
        <f>Inputs!$B$4-A14</f>
        <v/>
      </c>
      <c r="V14" s="16">
        <f>IF(OR(G14="",U14&lt;=0),"",MAX(0,Inputs!$B$1-G14)/U14)</f>
        <v/>
      </c>
    </row>
    <row r="15">
      <c r="A15" s="4" t="n">
        <v>14</v>
      </c>
      <c r="B15" s="12">
        <f>Inputs!$B$3+A15-1</f>
        <v/>
      </c>
      <c r="G15" s="16">
        <f>IF(C15="","",SUM($C$2:C15)-SUM($E$2:E15))</f>
        <v/>
      </c>
      <c r="H15" s="14">
        <f>IF(D15="","",SUM($D$2:D15)-SUM($F$2:F15))</f>
        <v/>
      </c>
      <c r="I15" s="15">
        <f>IF(G15="","",G15/Inputs!$B$1)</f>
        <v/>
      </c>
      <c r="J15" s="17">
        <f>IF(OR(H15="",H15=0),"",G15/H15)</f>
        <v/>
      </c>
      <c r="L15" s="15">
        <f>IF(OR(K15="",K15=0),"",D15/K15)</f>
        <v/>
      </c>
      <c r="T15" s="17">
        <f>IF(OR(S15="",S15=0),"",R15/S15)</f>
        <v/>
      </c>
      <c r="U15" s="14">
        <f>Inputs!$B$4-A15</f>
        <v/>
      </c>
      <c r="V15" s="16">
        <f>IF(OR(G15="",U15&lt;=0),"",MAX(0,Inputs!$B$1-G15)/U15)</f>
        <v/>
      </c>
    </row>
    <row r="16">
      <c r="A16" s="4" t="n">
        <v>15</v>
      </c>
      <c r="B16" s="12">
        <f>Inputs!$B$3+A16-1</f>
        <v/>
      </c>
      <c r="G16" s="16">
        <f>IF(C16="","",SUM($C$2:C16)-SUM($E$2:E16))</f>
        <v/>
      </c>
      <c r="H16" s="14">
        <f>IF(D16="","",SUM($D$2:D16)-SUM($F$2:F16))</f>
        <v/>
      </c>
      <c r="I16" s="15">
        <f>IF(G16="","",G16/Inputs!$B$1)</f>
        <v/>
      </c>
      <c r="J16" s="17">
        <f>IF(OR(H16="",H16=0),"",G16/H16)</f>
        <v/>
      </c>
      <c r="L16" s="15">
        <f>IF(OR(K16="",K16=0),"",D16/K16)</f>
        <v/>
      </c>
      <c r="T16" s="17">
        <f>IF(OR(S16="",S16=0),"",R16/S16)</f>
        <v/>
      </c>
      <c r="U16" s="14">
        <f>Inputs!$B$4-A16</f>
        <v/>
      </c>
      <c r="V16" s="16">
        <f>IF(OR(G16="",U16&lt;=0),"",MAX(0,Inputs!$B$1-G16)/U16)</f>
        <v/>
      </c>
    </row>
    <row r="17">
      <c r="A17" s="4" t="n">
        <v>16</v>
      </c>
      <c r="B17" s="12">
        <f>Inputs!$B$3+A17-1</f>
        <v/>
      </c>
      <c r="G17" s="16">
        <f>IF(C17="","",SUM($C$2:C17)-SUM($E$2:E17))</f>
        <v/>
      </c>
      <c r="H17" s="14">
        <f>IF(D17="","",SUM($D$2:D17)-SUM($F$2:F17))</f>
        <v/>
      </c>
      <c r="I17" s="15">
        <f>IF(G17="","",G17/Inputs!$B$1)</f>
        <v/>
      </c>
      <c r="J17" s="17">
        <f>IF(OR(H17="",H17=0),"",G17/H17)</f>
        <v/>
      </c>
      <c r="L17" s="15">
        <f>IF(OR(K17="",K17=0),"",D17/K17)</f>
        <v/>
      </c>
      <c r="T17" s="17">
        <f>IF(OR(S17="",S17=0),"",R17/S17)</f>
        <v/>
      </c>
      <c r="U17" s="14">
        <f>Inputs!$B$4-A17</f>
        <v/>
      </c>
      <c r="V17" s="16">
        <f>IF(OR(G17="",U17&lt;=0),"",MAX(0,Inputs!$B$1-G17)/U17)</f>
        <v/>
      </c>
    </row>
    <row r="18">
      <c r="A18" s="4" t="n">
        <v>17</v>
      </c>
      <c r="B18" s="12">
        <f>Inputs!$B$3+A18-1</f>
        <v/>
      </c>
      <c r="G18" s="16">
        <f>IF(C18="","",SUM($C$2:C18)-SUM($E$2:E18))</f>
        <v/>
      </c>
      <c r="H18" s="14">
        <f>IF(D18="","",SUM($D$2:D18)-SUM($F$2:F18))</f>
        <v/>
      </c>
      <c r="I18" s="15">
        <f>IF(G18="","",G18/Inputs!$B$1)</f>
        <v/>
      </c>
      <c r="J18" s="17">
        <f>IF(OR(H18="",H18=0),"",G18/H18)</f>
        <v/>
      </c>
      <c r="L18" s="15">
        <f>IF(OR(K18="",K18=0),"",D18/K18)</f>
        <v/>
      </c>
      <c r="T18" s="17">
        <f>IF(OR(S18="",S18=0),"",R18/S18)</f>
        <v/>
      </c>
      <c r="U18" s="14">
        <f>Inputs!$B$4-A18</f>
        <v/>
      </c>
      <c r="V18" s="16">
        <f>IF(OR(G18="",U18&lt;=0),"",MAX(0,Inputs!$B$1-G18)/U18)</f>
        <v/>
      </c>
    </row>
    <row r="19">
      <c r="A19" s="4" t="n">
        <v>18</v>
      </c>
      <c r="B19" s="12">
        <f>Inputs!$B$3+A19-1</f>
        <v/>
      </c>
      <c r="G19" s="16">
        <f>IF(C19="","",SUM($C$2:C19)-SUM($E$2:E19))</f>
        <v/>
      </c>
      <c r="H19" s="14">
        <f>IF(D19="","",SUM($D$2:D19)-SUM($F$2:F19))</f>
        <v/>
      </c>
      <c r="I19" s="15">
        <f>IF(G19="","",G19/Inputs!$B$1)</f>
        <v/>
      </c>
      <c r="J19" s="17">
        <f>IF(OR(H19="",H19=0),"",G19/H19)</f>
        <v/>
      </c>
      <c r="L19" s="15">
        <f>IF(OR(K19="",K19=0),"",D19/K19)</f>
        <v/>
      </c>
      <c r="T19" s="17">
        <f>IF(OR(S19="",S19=0),"",R19/S19)</f>
        <v/>
      </c>
      <c r="U19" s="14">
        <f>Inputs!$B$4-A19</f>
        <v/>
      </c>
      <c r="V19" s="16">
        <f>IF(OR(G19="",U19&lt;=0),"",MAX(0,Inputs!$B$1-G19)/U19)</f>
        <v/>
      </c>
    </row>
    <row r="20">
      <c r="A20" s="4" t="n">
        <v>19</v>
      </c>
      <c r="B20" s="12">
        <f>Inputs!$B$3+A20-1</f>
        <v/>
      </c>
      <c r="G20" s="16">
        <f>IF(C20="","",SUM($C$2:C20)-SUM($E$2:E20))</f>
        <v/>
      </c>
      <c r="H20" s="14">
        <f>IF(D20="","",SUM($D$2:D20)-SUM($F$2:F20))</f>
        <v/>
      </c>
      <c r="I20" s="15">
        <f>IF(G20="","",G20/Inputs!$B$1)</f>
        <v/>
      </c>
      <c r="J20" s="17">
        <f>IF(OR(H20="",H20=0),"",G20/H20)</f>
        <v/>
      </c>
      <c r="L20" s="15">
        <f>IF(OR(K20="",K20=0),"",D20/K20)</f>
        <v/>
      </c>
      <c r="T20" s="17">
        <f>IF(OR(S20="",S20=0),"",R20/S20)</f>
        <v/>
      </c>
      <c r="U20" s="14">
        <f>Inputs!$B$4-A20</f>
        <v/>
      </c>
      <c r="V20" s="16">
        <f>IF(OR(G20="",U20&lt;=0),"",MAX(0,Inputs!$B$1-G20)/U20)</f>
        <v/>
      </c>
    </row>
    <row r="21">
      <c r="A21" s="4" t="n">
        <v>20</v>
      </c>
      <c r="B21" s="12">
        <f>Inputs!$B$3+A21-1</f>
        <v/>
      </c>
      <c r="G21" s="16">
        <f>IF(C21="","",SUM($C$2:C21)-SUM($E$2:E21))</f>
        <v/>
      </c>
      <c r="H21" s="14">
        <f>IF(D21="","",SUM($D$2:D21)-SUM($F$2:F21))</f>
        <v/>
      </c>
      <c r="I21" s="15">
        <f>IF(G21="","",G21/Inputs!$B$1)</f>
        <v/>
      </c>
      <c r="J21" s="17">
        <f>IF(OR(H21="",H21=0),"",G21/H21)</f>
        <v/>
      </c>
      <c r="L21" s="15">
        <f>IF(OR(K21="",K21=0),"",D21/K21)</f>
        <v/>
      </c>
      <c r="T21" s="17">
        <f>IF(OR(S21="",S21=0),"",R21/S21)</f>
        <v/>
      </c>
      <c r="U21" s="14">
        <f>Inputs!$B$4-A21</f>
        <v/>
      </c>
      <c r="V21" s="16">
        <f>IF(OR(G21="",U21&lt;=0),"",MAX(0,Inputs!$B$1-G21)/U21)</f>
        <v/>
      </c>
    </row>
    <row r="22">
      <c r="A22" s="4" t="n">
        <v>21</v>
      </c>
      <c r="B22" s="12">
        <f>Inputs!$B$3+A22-1</f>
        <v/>
      </c>
      <c r="G22" s="16">
        <f>IF(C22="","",SUM($C$2:C22)-SUM($E$2:E22))</f>
        <v/>
      </c>
      <c r="H22" s="14">
        <f>IF(D22="","",SUM($D$2:D22)-SUM($F$2:F22))</f>
        <v/>
      </c>
      <c r="I22" s="15">
        <f>IF(G22="","",G22/Inputs!$B$1)</f>
        <v/>
      </c>
      <c r="J22" s="17">
        <f>IF(OR(H22="",H22=0),"",G22/H22)</f>
        <v/>
      </c>
      <c r="L22" s="15">
        <f>IF(OR(K22="",K22=0),"",D22/K22)</f>
        <v/>
      </c>
      <c r="T22" s="17">
        <f>IF(OR(S22="",S22=0),"",R22/S22)</f>
        <v/>
      </c>
      <c r="U22" s="14">
        <f>Inputs!$B$4-A22</f>
        <v/>
      </c>
      <c r="V22" s="16">
        <f>IF(OR(G22="",U22&lt;=0),"",MAX(0,Inputs!$B$1-G22)/U22)</f>
        <v/>
      </c>
    </row>
    <row r="23">
      <c r="A23" s="4" t="n">
        <v>22</v>
      </c>
      <c r="B23" s="12">
        <f>Inputs!$B$3+A23-1</f>
        <v/>
      </c>
      <c r="G23" s="16">
        <f>IF(C23="","",SUM($C$2:C23)-SUM($E$2:E23))</f>
        <v/>
      </c>
      <c r="H23" s="14">
        <f>IF(D23="","",SUM($D$2:D23)-SUM($F$2:F23))</f>
        <v/>
      </c>
      <c r="I23" s="15">
        <f>IF(G23="","",G23/Inputs!$B$1)</f>
        <v/>
      </c>
      <c r="J23" s="17">
        <f>IF(OR(H23="",H23=0),"",G23/H23)</f>
        <v/>
      </c>
      <c r="L23" s="15">
        <f>IF(OR(K23="",K23=0),"",D23/K23)</f>
        <v/>
      </c>
      <c r="T23" s="17">
        <f>IF(OR(S23="",S23=0),"",R23/S23)</f>
        <v/>
      </c>
      <c r="U23" s="14">
        <f>Inputs!$B$4-A23</f>
        <v/>
      </c>
      <c r="V23" s="16">
        <f>IF(OR(G23="",U23&lt;=0),"",MAX(0,Inputs!$B$1-G23)/U23)</f>
        <v/>
      </c>
    </row>
    <row r="24">
      <c r="A24" s="4" t="n">
        <v>23</v>
      </c>
      <c r="B24" s="12">
        <f>Inputs!$B$3+A24-1</f>
        <v/>
      </c>
      <c r="G24" s="16">
        <f>IF(C24="","",SUM($C$2:C24)-SUM($E$2:E24))</f>
        <v/>
      </c>
      <c r="H24" s="14">
        <f>IF(D24="","",SUM($D$2:D24)-SUM($F$2:F24))</f>
        <v/>
      </c>
      <c r="I24" s="15">
        <f>IF(G24="","",G24/Inputs!$B$1)</f>
        <v/>
      </c>
      <c r="J24" s="17">
        <f>IF(OR(H24="",H24=0),"",G24/H24)</f>
        <v/>
      </c>
      <c r="L24" s="15">
        <f>IF(OR(K24="",K24=0),"",D24/K24)</f>
        <v/>
      </c>
      <c r="T24" s="17">
        <f>IF(OR(S24="",S24=0),"",R24/S24)</f>
        <v/>
      </c>
      <c r="U24" s="14">
        <f>Inputs!$B$4-A24</f>
        <v/>
      </c>
      <c r="V24" s="16">
        <f>IF(OR(G24="",U24&lt;=0),"",MAX(0,Inputs!$B$1-G24)/U24)</f>
        <v/>
      </c>
    </row>
    <row r="25">
      <c r="A25" s="4" t="n">
        <v>24</v>
      </c>
      <c r="B25" s="12">
        <f>Inputs!$B$3+A25-1</f>
        <v/>
      </c>
      <c r="G25" s="16">
        <f>IF(C25="","",SUM($C$2:C25)-SUM($E$2:E25))</f>
        <v/>
      </c>
      <c r="H25" s="14">
        <f>IF(D25="","",SUM($D$2:D25)-SUM($F$2:F25))</f>
        <v/>
      </c>
      <c r="I25" s="15">
        <f>IF(G25="","",G25/Inputs!$B$1)</f>
        <v/>
      </c>
      <c r="J25" s="17">
        <f>IF(OR(H25="",H25=0),"",G25/H25)</f>
        <v/>
      </c>
      <c r="L25" s="15">
        <f>IF(OR(K25="",K25=0),"",D25/K25)</f>
        <v/>
      </c>
      <c r="T25" s="17">
        <f>IF(OR(S25="",S25=0),"",R25/S25)</f>
        <v/>
      </c>
      <c r="U25" s="14">
        <f>Inputs!$B$4-A25</f>
        <v/>
      </c>
      <c r="V25" s="16">
        <f>IF(OR(G25="",U25&lt;=0),"",MAX(0,Inputs!$B$1-G25)/U25)</f>
        <v/>
      </c>
    </row>
    <row r="26">
      <c r="A26" s="4" t="n">
        <v>25</v>
      </c>
      <c r="B26" s="12">
        <f>Inputs!$B$3+A26-1</f>
        <v/>
      </c>
      <c r="G26" s="16">
        <f>IF(C26="","",SUM($C$2:C26)-SUM($E$2:E26))</f>
        <v/>
      </c>
      <c r="H26" s="14">
        <f>IF(D26="","",SUM($D$2:D26)-SUM($F$2:F26))</f>
        <v/>
      </c>
      <c r="I26" s="15">
        <f>IF(G26="","",G26/Inputs!$B$1)</f>
        <v/>
      </c>
      <c r="J26" s="17">
        <f>IF(OR(H26="",H26=0),"",G26/H26)</f>
        <v/>
      </c>
      <c r="L26" s="15">
        <f>IF(OR(K26="",K26=0),"",D26/K26)</f>
        <v/>
      </c>
      <c r="T26" s="17">
        <f>IF(OR(S26="",S26=0),"",R26/S26)</f>
        <v/>
      </c>
      <c r="U26" s="14">
        <f>Inputs!$B$4-A26</f>
        <v/>
      </c>
      <c r="V26" s="16">
        <f>IF(OR(G26="",U26&lt;=0),"",MAX(0,Inputs!$B$1-G26)/U26)</f>
        <v/>
      </c>
    </row>
    <row r="27">
      <c r="A27" s="4" t="n">
        <v>26</v>
      </c>
      <c r="B27" s="12">
        <f>Inputs!$B$3+A27-1</f>
        <v/>
      </c>
      <c r="G27" s="16">
        <f>IF(C27="","",SUM($C$2:C27)-SUM($E$2:E27))</f>
        <v/>
      </c>
      <c r="H27" s="14">
        <f>IF(D27="","",SUM($D$2:D27)-SUM($F$2:F27))</f>
        <v/>
      </c>
      <c r="I27" s="15">
        <f>IF(G27="","",G27/Inputs!$B$1)</f>
        <v/>
      </c>
      <c r="J27" s="17">
        <f>IF(OR(H27="",H27=0),"",G27/H27)</f>
        <v/>
      </c>
      <c r="L27" s="15">
        <f>IF(OR(K27="",K27=0),"",D27/K27)</f>
        <v/>
      </c>
      <c r="T27" s="17">
        <f>IF(OR(S27="",S27=0),"",R27/S27)</f>
        <v/>
      </c>
      <c r="U27" s="14">
        <f>Inputs!$B$4-A27</f>
        <v/>
      </c>
      <c r="V27" s="16">
        <f>IF(OR(G27="",U27&lt;=0),"",MAX(0,Inputs!$B$1-G27)/U27)</f>
        <v/>
      </c>
    </row>
    <row r="28">
      <c r="A28" s="4" t="n">
        <v>27</v>
      </c>
      <c r="B28" s="12">
        <f>Inputs!$B$3+A28-1</f>
        <v/>
      </c>
      <c r="G28" s="16">
        <f>IF(C28="","",SUM($C$2:C28)-SUM($E$2:E28))</f>
        <v/>
      </c>
      <c r="H28" s="14">
        <f>IF(D28="","",SUM($D$2:D28)-SUM($F$2:F28))</f>
        <v/>
      </c>
      <c r="I28" s="15">
        <f>IF(G28="","",G28/Inputs!$B$1)</f>
        <v/>
      </c>
      <c r="J28" s="17">
        <f>IF(OR(H28="",H28=0),"",G28/H28)</f>
        <v/>
      </c>
      <c r="L28" s="15">
        <f>IF(OR(K28="",K28=0),"",D28/K28)</f>
        <v/>
      </c>
      <c r="T28" s="17">
        <f>IF(OR(S28="",S28=0),"",R28/S28)</f>
        <v/>
      </c>
      <c r="U28" s="14">
        <f>Inputs!$B$4-A28</f>
        <v/>
      </c>
      <c r="V28" s="16">
        <f>IF(OR(G28="",U28&lt;=0),"",MAX(0,Inputs!$B$1-G28)/U28)</f>
        <v/>
      </c>
    </row>
    <row r="29">
      <c r="A29" s="4" t="n">
        <v>28</v>
      </c>
      <c r="B29" s="12">
        <f>Inputs!$B$3+A29-1</f>
        <v/>
      </c>
      <c r="G29" s="16">
        <f>IF(C29="","",SUM($C$2:C29)-SUM($E$2:E29))</f>
        <v/>
      </c>
      <c r="H29" s="14">
        <f>IF(D29="","",SUM($D$2:D29)-SUM($F$2:F29))</f>
        <v/>
      </c>
      <c r="I29" s="15">
        <f>IF(G29="","",G29/Inputs!$B$1)</f>
        <v/>
      </c>
      <c r="J29" s="17">
        <f>IF(OR(H29="",H29=0),"",G29/H29)</f>
        <v/>
      </c>
      <c r="L29" s="15">
        <f>IF(OR(K29="",K29=0),"",D29/K29)</f>
        <v/>
      </c>
      <c r="T29" s="17">
        <f>IF(OR(S29="",S29=0),"",R29/S29)</f>
        <v/>
      </c>
      <c r="U29" s="14">
        <f>Inputs!$B$4-A29</f>
        <v/>
      </c>
      <c r="V29" s="16">
        <f>IF(OR(G29="",U29&lt;=0),"",MAX(0,Inputs!$B$1-G29)/U29)</f>
        <v/>
      </c>
    </row>
    <row r="30">
      <c r="A30" s="4" t="n">
        <v>29</v>
      </c>
      <c r="B30" s="12">
        <f>Inputs!$B$3+A30-1</f>
        <v/>
      </c>
      <c r="G30" s="16">
        <f>IF(C30="","",SUM($C$2:C30)-SUM($E$2:E30))</f>
        <v/>
      </c>
      <c r="H30" s="14">
        <f>IF(D30="","",SUM($D$2:D30)-SUM($F$2:F30))</f>
        <v/>
      </c>
      <c r="I30" s="15">
        <f>IF(G30="","",G30/Inputs!$B$1)</f>
        <v/>
      </c>
      <c r="J30" s="17">
        <f>IF(OR(H30="",H30=0),"",G30/H30)</f>
        <v/>
      </c>
      <c r="L30" s="15">
        <f>IF(OR(K30="",K30=0),"",D30/K30)</f>
        <v/>
      </c>
      <c r="T30" s="17">
        <f>IF(OR(S30="",S30=0),"",R30/S30)</f>
        <v/>
      </c>
      <c r="U30" s="14">
        <f>Inputs!$B$4-A30</f>
        <v/>
      </c>
      <c r="V30" s="16">
        <f>IF(OR(G30="",U30&lt;=0),"",MAX(0,Inputs!$B$1-G30)/U30)</f>
        <v/>
      </c>
    </row>
    <row r="31">
      <c r="A31" s="4" t="n">
        <v>30</v>
      </c>
      <c r="B31" s="12">
        <f>Inputs!$B$3+A31-1</f>
        <v/>
      </c>
      <c r="G31" s="16">
        <f>IF(C31="","",SUM($C$2:C31)-SUM($E$2:E31))</f>
        <v/>
      </c>
      <c r="H31" s="14">
        <f>IF(D31="","",SUM($D$2:D31)-SUM($F$2:F31))</f>
        <v/>
      </c>
      <c r="I31" s="15">
        <f>IF(G31="","",G31/Inputs!$B$1)</f>
        <v/>
      </c>
      <c r="J31" s="17">
        <f>IF(OR(H31="",H31=0),"",G31/H31)</f>
        <v/>
      </c>
      <c r="L31" s="15">
        <f>IF(OR(K31="",K31=0),"",D31/K31)</f>
        <v/>
      </c>
      <c r="T31" s="17">
        <f>IF(OR(S31="",S31=0),"",R31/S31)</f>
        <v/>
      </c>
      <c r="U31" s="14">
        <f>Inputs!$B$4-A31</f>
        <v/>
      </c>
      <c r="V31" s="16">
        <f>IF(OR(G31="",U31&lt;=0),"",MAX(0,Inputs!$B$1-G31)/U31)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14" customWidth="1" min="4" max="4"/>
    <col width="11" customWidth="1" min="5" max="5"/>
    <col width="10" customWidth="1" min="6" max="6"/>
    <col width="11" customWidth="1" min="7" max="7"/>
    <col width="8" customWidth="1" min="8" max="8"/>
    <col width="10" customWidth="1" min="9" max="9"/>
  </cols>
  <sheetData>
    <row r="1" ht="42" customHeight="1">
      <c r="A1" s="11" t="inlineStr">
        <is>
          <t>Tier</t>
        </is>
      </c>
      <c r="B1" s="11" t="inlineStr">
        <is>
          <t>Price</t>
        </is>
      </c>
      <c r="C1" s="11" t="inlineStr">
        <is>
          <t>Planned mix</t>
        </is>
      </c>
      <c r="D1" s="11" t="inlineStr">
        <is>
          <t>Backers (type from KS dashboard)</t>
        </is>
      </c>
      <c r="E1" s="11" t="inlineStr">
        <is>
          <t>Pledged</t>
        </is>
      </c>
      <c r="F1" s="11" t="inlineStr">
        <is>
          <t>Actual mix</t>
        </is>
      </c>
      <c r="G1" s="11" t="inlineStr">
        <is>
          <t>vs plan (points)</t>
        </is>
      </c>
      <c r="H1" s="11" t="inlineStr">
        <is>
          <t>Limit</t>
        </is>
      </c>
      <c r="I1" s="11" t="inlineStr">
        <is>
          <t>Remaining</t>
        </is>
      </c>
    </row>
    <row r="2">
      <c r="A2" s="4" t="inlineStr">
        <is>
          <t>Ripple</t>
        </is>
      </c>
      <c r="B2" s="5" t="n">
        <v>5</v>
      </c>
      <c r="C2" s="18" t="n">
        <v>0.07000000000000001</v>
      </c>
      <c r="D2" s="8" t="n">
        <v>0</v>
      </c>
      <c r="E2" s="16">
        <f>B2*D2</f>
        <v/>
      </c>
      <c r="F2" s="15">
        <f>IF(SUM($D$2:$D$9)=0,"",D2/SUM($D$2:$D$9))</f>
        <v/>
      </c>
      <c r="G2" s="19">
        <f>IF(F2="","",(F2-C2)*100)</f>
        <v/>
      </c>
    </row>
    <row r="3">
      <c r="A3" s="4" t="inlineStr">
        <is>
          <t>Early Diver</t>
        </is>
      </c>
      <c r="B3" s="5" t="n">
        <v>12</v>
      </c>
      <c r="C3" s="18" t="n">
        <v>0.18</v>
      </c>
      <c r="D3" s="8" t="n">
        <v>0</v>
      </c>
      <c r="E3" s="16">
        <f>B3*D3</f>
        <v/>
      </c>
      <c r="F3" s="15">
        <f>IF(SUM($D$2:$D$9)=0,"",D3/SUM($D$2:$D$9))</f>
        <v/>
      </c>
      <c r="G3" s="19">
        <f>IF(F3="","",(F3-C3)*100)</f>
        <v/>
      </c>
      <c r="H3" s="8" t="n">
        <v>300</v>
      </c>
      <c r="I3" s="14">
        <f>H3-D3</f>
        <v/>
      </c>
    </row>
    <row r="4">
      <c r="A4" s="4" t="inlineStr">
        <is>
          <t>Diver</t>
        </is>
      </c>
      <c r="B4" s="5" t="n">
        <v>15</v>
      </c>
      <c r="C4" s="18" t="n">
        <v>0.2</v>
      </c>
      <c r="D4" s="8" t="n">
        <v>0</v>
      </c>
      <c r="E4" s="16">
        <f>B4*D4</f>
        <v/>
      </c>
      <c r="F4" s="15">
        <f>IF(SUM($D$2:$D$9)=0,"",D4/SUM($D$2:$D$9))</f>
        <v/>
      </c>
      <c r="G4" s="19">
        <f>IF(F4="","",(F4-C4)*100)</f>
        <v/>
      </c>
    </row>
    <row r="5">
      <c r="A5" s="4" t="inlineStr">
        <is>
          <t>Founding Diver</t>
        </is>
      </c>
      <c r="B5" s="5" t="n">
        <v>29</v>
      </c>
      <c r="C5" s="18" t="n">
        <v>0.22</v>
      </c>
      <c r="D5" s="8" t="n">
        <v>0</v>
      </c>
      <c r="E5" s="16">
        <f>B5*D5</f>
        <v/>
      </c>
      <c r="F5" s="15">
        <f>IF(SUM($D$2:$D$9)=0,"",D5/SUM($D$2:$D$9))</f>
        <v/>
      </c>
      <c r="G5" s="19">
        <f>IF(F5="","",(F5-C5)*100)</f>
        <v/>
      </c>
    </row>
    <row r="6">
      <c r="A6" s="4" t="inlineStr">
        <is>
          <t>Pod of Four</t>
        </is>
      </c>
      <c r="B6" s="5" t="n">
        <v>49</v>
      </c>
      <c r="C6" s="18" t="n">
        <v>0.2</v>
      </c>
      <c r="D6" s="8" t="n">
        <v>0</v>
      </c>
      <c r="E6" s="16">
        <f>B6*D6</f>
        <v/>
      </c>
      <c r="F6" s="15">
        <f>IF(SUM($D$2:$D$9)=0,"",D6/SUM($D$2:$D$9))</f>
        <v/>
      </c>
      <c r="G6" s="19">
        <f>IF(F6="","",(F6-C6)*100)</f>
        <v/>
      </c>
    </row>
    <row r="7">
      <c r="A7" s="4" t="inlineStr">
        <is>
          <t>Founding Pod</t>
        </is>
      </c>
      <c r="B7" s="5" t="n">
        <v>99</v>
      </c>
      <c r="C7" s="18" t="n">
        <v>0.1</v>
      </c>
      <c r="D7" s="8" t="n">
        <v>0</v>
      </c>
      <c r="E7" s="16">
        <f>B7*D7</f>
        <v/>
      </c>
      <c r="F7" s="15">
        <f>IF(SUM($D$2:$D$9)=0,"",D7/SUM($D$2:$D$9))</f>
        <v/>
      </c>
      <c r="G7" s="19">
        <f>IF(F7="","",(F7-C7)*100)</f>
        <v/>
      </c>
    </row>
    <row r="8">
      <c r="A8" s="4" t="inlineStr">
        <is>
          <t>Name the Trawler</t>
        </is>
      </c>
      <c r="B8" s="5" t="n">
        <v>199</v>
      </c>
      <c r="C8" s="18" t="n">
        <v>0.03</v>
      </c>
      <c r="D8" s="8" t="n">
        <v>0</v>
      </c>
      <c r="E8" s="16">
        <f>B8*D8</f>
        <v/>
      </c>
      <c r="F8" s="15">
        <f>IF(SUM($D$2:$D$9)=0,"",D8/SUM($D$2:$D$9))</f>
        <v/>
      </c>
      <c r="G8" s="19">
        <f>IF(F8="","",(F8-C8)*100)</f>
        <v/>
      </c>
      <c r="H8" s="8" t="n">
        <v>25</v>
      </c>
      <c r="I8" s="14">
        <f>H8-D8</f>
        <v/>
      </c>
    </row>
    <row r="9">
      <c r="A9" s="4" t="inlineStr">
        <is>
          <t>No reward / custom</t>
        </is>
      </c>
      <c r="B9" s="5" t="n">
        <v>1</v>
      </c>
      <c r="C9" s="18" t="n">
        <v>0</v>
      </c>
      <c r="D9" s="8" t="n">
        <v>0</v>
      </c>
      <c r="E9" s="16">
        <f>B9*D9</f>
        <v/>
      </c>
      <c r="F9" s="15">
        <f>IF(SUM($D$2:$D$9)=0,"",D9/SUM($D$2:$D$9))</f>
        <v/>
      </c>
      <c r="G9" s="19">
        <f>IF(F9="","",(F9-C9)*100)</f>
        <v/>
      </c>
    </row>
    <row r="11">
      <c r="A11" s="20" t="inlineStr">
        <is>
          <t>Totals</t>
        </is>
      </c>
      <c r="D11" s="21">
        <f>SUM(D2:D9)</f>
        <v/>
      </c>
      <c r="E11" s="22">
        <f>SUM(E2:E9)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28" customWidth="1" min="9" max="9"/>
    <col width="14" customWidth="1" min="10" max="10"/>
  </cols>
  <sheetData>
    <row r="1" ht="42" customHeight="1">
      <c r="A1" s="11" t="inlineStr">
        <is>
          <t>Day</t>
        </is>
      </c>
      <c r="B1" s="11" t="inlineStr">
        <is>
          <t>Conservative: cumulative share of final total by this day</t>
        </is>
      </c>
      <c r="C1" s="11" t="inlineStr">
        <is>
          <t>Baseline</t>
        </is>
      </c>
      <c r="D1" s="11" t="inlineStr">
        <is>
          <t>Optimistic</t>
        </is>
      </c>
      <c r="E1" s="11" t="inlineStr">
        <is>
          <t>Forecast final (conservative)</t>
        </is>
      </c>
      <c r="F1" s="11" t="inlineStr">
        <is>
          <t>Forecast final (baseline)</t>
        </is>
      </c>
      <c r="G1" s="11" t="inlineStr">
        <is>
          <t>Forecast final (optimistic)</t>
        </is>
      </c>
      <c r="I1" s="20" t="inlineStr">
        <is>
          <t>Latest forecast</t>
        </is>
      </c>
    </row>
    <row r="2">
      <c r="A2" s="4" t="n">
        <v>1</v>
      </c>
      <c r="B2" s="18" t="n">
        <v>0.1661</v>
      </c>
      <c r="C2" s="18" t="n">
        <v>0.1246</v>
      </c>
      <c r="D2" s="18" t="n">
        <v>0.0914</v>
      </c>
      <c r="E2" s="16">
        <f>IF(Daily!G2="","",Daily!G2/B2)</f>
        <v/>
      </c>
      <c r="F2" s="16">
        <f>IF(Daily!G2="","",Daily!G2/C2)</f>
        <v/>
      </c>
      <c r="G2" s="16">
        <f>IF(Daily!G2="","",Daily!G2/D2)</f>
        <v/>
      </c>
      <c r="I2" s="4" t="inlineStr">
        <is>
          <t>Last filled day</t>
        </is>
      </c>
      <c r="J2" s="14">
        <f>COUNT(Daily!G2:G31)</f>
        <v/>
      </c>
    </row>
    <row r="3">
      <c r="A3" s="4" t="n">
        <v>2</v>
      </c>
      <c r="B3" s="18" t="n">
        <v>0.2892</v>
      </c>
      <c r="C3" s="18" t="n">
        <v>0.2169</v>
      </c>
      <c r="D3" s="18" t="n">
        <v>0.1591</v>
      </c>
      <c r="E3" s="16">
        <f>IF(Daily!G3="","",Daily!G3/B3)</f>
        <v/>
      </c>
      <c r="F3" s="16">
        <f>IF(Daily!G3="","",Daily!G3/C3)</f>
        <v/>
      </c>
      <c r="G3" s="16">
        <f>IF(Daily!G3="","",Daily!G3/D3)</f>
        <v/>
      </c>
      <c r="I3" s="4" t="inlineStr">
        <is>
          <t>Conservative final pledged</t>
        </is>
      </c>
      <c r="J3" s="23">
        <f>IF($J$2=0,"",INDEX(E2:E31,$J$2))</f>
        <v/>
      </c>
      <c r="K3" s="15">
        <f>IF($J$2=0,"",INDEX(E2:E31,$J$2)/Inputs!$B$1)</f>
        <v/>
      </c>
    </row>
    <row r="4">
      <c r="A4" s="4" t="n">
        <v>3</v>
      </c>
      <c r="B4" s="10" t="n">
        <v>0.4</v>
      </c>
      <c r="C4" s="10" t="n">
        <v>0.3</v>
      </c>
      <c r="D4" s="10" t="n">
        <v>0.22</v>
      </c>
      <c r="E4" s="16">
        <f>IF(Daily!G4="","",Daily!G4/B4)</f>
        <v/>
      </c>
      <c r="F4" s="16">
        <f>IF(Daily!G4="","",Daily!G4/C4)</f>
        <v/>
      </c>
      <c r="G4" s="16">
        <f>IF(Daily!G4="","",Daily!G4/D4)</f>
        <v/>
      </c>
      <c r="I4" s="4" t="inlineStr">
        <is>
          <t>Baseline final pledged</t>
        </is>
      </c>
      <c r="J4" s="23">
        <f>IF($J$2=0,"",INDEX(F2:F31,$J$2))</f>
        <v/>
      </c>
      <c r="K4" s="15">
        <f>IF($J$2=0,"",INDEX(F2:F31,$J$2)/Inputs!$B$1)</f>
        <v/>
      </c>
    </row>
    <row r="5">
      <c r="A5" s="4" t="n">
        <v>4</v>
      </c>
      <c r="B5" s="18" t="n">
        <v>0.4188</v>
      </c>
      <c r="C5" s="18" t="n">
        <v>0.32</v>
      </c>
      <c r="D5" s="18" t="n">
        <v>0.24</v>
      </c>
      <c r="E5" s="16">
        <f>IF(Daily!G5="","",Daily!G5/B5)</f>
        <v/>
      </c>
      <c r="F5" s="16">
        <f>IF(Daily!G5="","",Daily!G5/C5)</f>
        <v/>
      </c>
      <c r="G5" s="16">
        <f>IF(Daily!G5="","",Daily!G5/D5)</f>
        <v/>
      </c>
      <c r="I5" s="4" t="inlineStr">
        <is>
          <t>Optimistic final pledged</t>
        </is>
      </c>
      <c r="J5" s="23">
        <f>IF($J$2=0,"",INDEX(G2:G31,$J$2))</f>
        <v/>
      </c>
      <c r="K5" s="15">
        <f>IF($J$2=0,"",INDEX(G2:G31,$J$2)/Inputs!$B$1)</f>
        <v/>
      </c>
    </row>
    <row r="6">
      <c r="A6" s="4" t="n">
        <v>5</v>
      </c>
      <c r="B6" s="18" t="n">
        <v>0.4375</v>
      </c>
      <c r="C6" s="18" t="n">
        <v>0.34</v>
      </c>
      <c r="D6" s="18" t="n">
        <v>0.26</v>
      </c>
      <c r="E6" s="16">
        <f>IF(Daily!G6="","",Daily!G6/B6)</f>
        <v/>
      </c>
      <c r="F6" s="16">
        <f>IF(Daily!G6="","",Daily!G6/C6)</f>
        <v/>
      </c>
      <c r="G6" s="16">
        <f>IF(Daily!G6="","",Daily!G6/D6)</f>
        <v/>
      </c>
    </row>
    <row r="7">
      <c r="A7" s="4" t="n">
        <v>6</v>
      </c>
      <c r="B7" s="18" t="n">
        <v>0.4563</v>
      </c>
      <c r="C7" s="18" t="n">
        <v>0.36</v>
      </c>
      <c r="D7" s="18" t="n">
        <v>0.28</v>
      </c>
      <c r="E7" s="16">
        <f>IF(Daily!G7="","",Daily!G7/B7)</f>
        <v/>
      </c>
      <c r="F7" s="16">
        <f>IF(Daily!G7="","",Daily!G7/C7)</f>
        <v/>
      </c>
      <c r="G7" s="16">
        <f>IF(Daily!G7="","",Daily!G7/D7)</f>
        <v/>
      </c>
      <c r="I7" s="13" t="inlineStr">
        <is>
          <t>Curves are assumptions (yellow = the day-3 anchor). Forecasts before day 4 swing wildly; triggers T3/T7 wait for day 4.</t>
        </is>
      </c>
    </row>
    <row r="8">
      <c r="A8" s="4" t="n">
        <v>7</v>
      </c>
      <c r="B8" s="18" t="n">
        <v>0.475</v>
      </c>
      <c r="C8" s="18" t="n">
        <v>0.38</v>
      </c>
      <c r="D8" s="18" t="n">
        <v>0.3</v>
      </c>
      <c r="E8" s="16">
        <f>IF(Daily!G8="","",Daily!G8/B8)</f>
        <v/>
      </c>
      <c r="F8" s="16">
        <f>IF(Daily!G8="","",Daily!G8/C8)</f>
        <v/>
      </c>
      <c r="G8" s="16">
        <f>IF(Daily!G8="","",Daily!G8/D8)</f>
        <v/>
      </c>
    </row>
    <row r="9">
      <c r="A9" s="4" t="n">
        <v>8</v>
      </c>
      <c r="B9" s="18" t="n">
        <v>0.4938</v>
      </c>
      <c r="C9" s="18" t="n">
        <v>0.4</v>
      </c>
      <c r="D9" s="18" t="n">
        <v>0.32</v>
      </c>
      <c r="E9" s="16">
        <f>IF(Daily!G9="","",Daily!G9/B9)</f>
        <v/>
      </c>
      <c r="F9" s="16">
        <f>IF(Daily!G9="","",Daily!G9/C9)</f>
        <v/>
      </c>
      <c r="G9" s="16">
        <f>IF(Daily!G9="","",Daily!G9/D9)</f>
        <v/>
      </c>
    </row>
    <row r="10">
      <c r="A10" s="4" t="n">
        <v>9</v>
      </c>
      <c r="B10" s="18" t="n">
        <v>0.5125</v>
      </c>
      <c r="C10" s="18" t="n">
        <v>0.42</v>
      </c>
      <c r="D10" s="18" t="n">
        <v>0.34</v>
      </c>
      <c r="E10" s="16">
        <f>IF(Daily!G10="","",Daily!G10/B10)</f>
        <v/>
      </c>
      <c r="F10" s="16">
        <f>IF(Daily!G10="","",Daily!G10/C10)</f>
        <v/>
      </c>
      <c r="G10" s="16">
        <f>IF(Daily!G10="","",Daily!G10/D10)</f>
        <v/>
      </c>
    </row>
    <row r="11">
      <c r="A11" s="4" t="n">
        <v>10</v>
      </c>
      <c r="B11" s="18" t="n">
        <v>0.5312</v>
      </c>
      <c r="C11" s="18" t="n">
        <v>0.44</v>
      </c>
      <c r="D11" s="18" t="n">
        <v>0.36</v>
      </c>
      <c r="E11" s="16">
        <f>IF(Daily!G11="","",Daily!G11/B11)</f>
        <v/>
      </c>
      <c r="F11" s="16">
        <f>IF(Daily!G11="","",Daily!G11/C11)</f>
        <v/>
      </c>
      <c r="G11" s="16">
        <f>IF(Daily!G11="","",Daily!G11/D11)</f>
        <v/>
      </c>
    </row>
    <row r="12">
      <c r="A12" s="4" t="n">
        <v>11</v>
      </c>
      <c r="B12" s="18" t="n">
        <v>0.55</v>
      </c>
      <c r="C12" s="18" t="n">
        <v>0.46</v>
      </c>
      <c r="D12" s="18" t="n">
        <v>0.38</v>
      </c>
      <c r="E12" s="16">
        <f>IF(Daily!G12="","",Daily!G12/B12)</f>
        <v/>
      </c>
      <c r="F12" s="16">
        <f>IF(Daily!G12="","",Daily!G12/C12)</f>
        <v/>
      </c>
      <c r="G12" s="16">
        <f>IF(Daily!G12="","",Daily!G12/D12)</f>
        <v/>
      </c>
    </row>
    <row r="13">
      <c r="A13" s="4" t="n">
        <v>12</v>
      </c>
      <c r="B13" s="18" t="n">
        <v>0.5687</v>
      </c>
      <c r="C13" s="18" t="n">
        <v>0.48</v>
      </c>
      <c r="D13" s="18" t="n">
        <v>0.4</v>
      </c>
      <c r="E13" s="16">
        <f>IF(Daily!G13="","",Daily!G13/B13)</f>
        <v/>
      </c>
      <c r="F13" s="16">
        <f>IF(Daily!G13="","",Daily!G13/C13)</f>
        <v/>
      </c>
      <c r="G13" s="16">
        <f>IF(Daily!G13="","",Daily!G13/D13)</f>
        <v/>
      </c>
    </row>
    <row r="14">
      <c r="A14" s="4" t="n">
        <v>13</v>
      </c>
      <c r="B14" s="18" t="n">
        <v>0.5875</v>
      </c>
      <c r="C14" s="18" t="n">
        <v>0.5</v>
      </c>
      <c r="D14" s="18" t="n">
        <v>0.42</v>
      </c>
      <c r="E14" s="16">
        <f>IF(Daily!G14="","",Daily!G14/B14)</f>
        <v/>
      </c>
      <c r="F14" s="16">
        <f>IF(Daily!G14="","",Daily!G14/C14)</f>
        <v/>
      </c>
      <c r="G14" s="16">
        <f>IF(Daily!G14="","",Daily!G14/D14)</f>
        <v/>
      </c>
    </row>
    <row r="15">
      <c r="A15" s="4" t="n">
        <v>14</v>
      </c>
      <c r="B15" s="18" t="n">
        <v>0.6062</v>
      </c>
      <c r="C15" s="18" t="n">
        <v>0.52</v>
      </c>
      <c r="D15" s="18" t="n">
        <v>0.44</v>
      </c>
      <c r="E15" s="16">
        <f>IF(Daily!G15="","",Daily!G15/B15)</f>
        <v/>
      </c>
      <c r="F15" s="16">
        <f>IF(Daily!G15="","",Daily!G15/C15)</f>
        <v/>
      </c>
      <c r="G15" s="16">
        <f>IF(Daily!G15="","",Daily!G15/D15)</f>
        <v/>
      </c>
    </row>
    <row r="16">
      <c r="A16" s="4" t="n">
        <v>15</v>
      </c>
      <c r="B16" s="18" t="n">
        <v>0.625</v>
      </c>
      <c r="C16" s="18" t="n">
        <v>0.54</v>
      </c>
      <c r="D16" s="18" t="n">
        <v>0.46</v>
      </c>
      <c r="E16" s="16">
        <f>IF(Daily!G16="","",Daily!G16/B16)</f>
        <v/>
      </c>
      <c r="F16" s="16">
        <f>IF(Daily!G16="","",Daily!G16/C16)</f>
        <v/>
      </c>
      <c r="G16" s="16">
        <f>IF(Daily!G16="","",Daily!G16/D16)</f>
        <v/>
      </c>
    </row>
    <row r="17">
      <c r="A17" s="4" t="n">
        <v>16</v>
      </c>
      <c r="B17" s="18" t="n">
        <v>0.6438</v>
      </c>
      <c r="C17" s="18" t="n">
        <v>0.5600000000000001</v>
      </c>
      <c r="D17" s="18" t="n">
        <v>0.48</v>
      </c>
      <c r="E17" s="16">
        <f>IF(Daily!G17="","",Daily!G17/B17)</f>
        <v/>
      </c>
      <c r="F17" s="16">
        <f>IF(Daily!G17="","",Daily!G17/C17)</f>
        <v/>
      </c>
      <c r="G17" s="16">
        <f>IF(Daily!G17="","",Daily!G17/D17)</f>
        <v/>
      </c>
    </row>
    <row r="18">
      <c r="A18" s="4" t="n">
        <v>17</v>
      </c>
      <c r="B18" s="18" t="n">
        <v>0.6625</v>
      </c>
      <c r="C18" s="18" t="n">
        <v>0.58</v>
      </c>
      <c r="D18" s="18" t="n">
        <v>0.5</v>
      </c>
      <c r="E18" s="16">
        <f>IF(Daily!G18="","",Daily!G18/B18)</f>
        <v/>
      </c>
      <c r="F18" s="16">
        <f>IF(Daily!G18="","",Daily!G18/C18)</f>
        <v/>
      </c>
      <c r="G18" s="16">
        <f>IF(Daily!G18="","",Daily!G18/D18)</f>
        <v/>
      </c>
    </row>
    <row r="19">
      <c r="A19" s="4" t="n">
        <v>18</v>
      </c>
      <c r="B19" s="18" t="n">
        <v>0.6812</v>
      </c>
      <c r="C19" s="18" t="n">
        <v>0.6</v>
      </c>
      <c r="D19" s="18" t="n">
        <v>0.52</v>
      </c>
      <c r="E19" s="16">
        <f>IF(Daily!G19="","",Daily!G19/B19)</f>
        <v/>
      </c>
      <c r="F19" s="16">
        <f>IF(Daily!G19="","",Daily!G19/C19)</f>
        <v/>
      </c>
      <c r="G19" s="16">
        <f>IF(Daily!G19="","",Daily!G19/D19)</f>
        <v/>
      </c>
    </row>
    <row r="20">
      <c r="A20" s="4" t="n">
        <v>19</v>
      </c>
      <c r="B20" s="18" t="n">
        <v>0.7</v>
      </c>
      <c r="C20" s="18" t="n">
        <v>0.62</v>
      </c>
      <c r="D20" s="18" t="n">
        <v>0.54</v>
      </c>
      <c r="E20" s="16">
        <f>IF(Daily!G20="","",Daily!G20/B20)</f>
        <v/>
      </c>
      <c r="F20" s="16">
        <f>IF(Daily!G20="","",Daily!G20/C20)</f>
        <v/>
      </c>
      <c r="G20" s="16">
        <f>IF(Daily!G20="","",Daily!G20/D20)</f>
        <v/>
      </c>
    </row>
    <row r="21">
      <c r="A21" s="4" t="n">
        <v>20</v>
      </c>
      <c r="B21" s="18" t="n">
        <v>0.7188</v>
      </c>
      <c r="C21" s="18" t="n">
        <v>0.64</v>
      </c>
      <c r="D21" s="18" t="n">
        <v>0.5600000000000001</v>
      </c>
      <c r="E21" s="16">
        <f>IF(Daily!G21="","",Daily!G21/B21)</f>
        <v/>
      </c>
      <c r="F21" s="16">
        <f>IF(Daily!G21="","",Daily!G21/C21)</f>
        <v/>
      </c>
      <c r="G21" s="16">
        <f>IF(Daily!G21="","",Daily!G21/D21)</f>
        <v/>
      </c>
    </row>
    <row r="22">
      <c r="A22" s="4" t="n">
        <v>21</v>
      </c>
      <c r="B22" s="18" t="n">
        <v>0.7375</v>
      </c>
      <c r="C22" s="18" t="n">
        <v>0.66</v>
      </c>
      <c r="D22" s="18" t="n">
        <v>0.58</v>
      </c>
      <c r="E22" s="16">
        <f>IF(Daily!G22="","",Daily!G22/B22)</f>
        <v/>
      </c>
      <c r="F22" s="16">
        <f>IF(Daily!G22="","",Daily!G22/C22)</f>
        <v/>
      </c>
      <c r="G22" s="16">
        <f>IF(Daily!G22="","",Daily!G22/D22)</f>
        <v/>
      </c>
    </row>
    <row r="23">
      <c r="A23" s="4" t="n">
        <v>22</v>
      </c>
      <c r="B23" s="18" t="n">
        <v>0.7562</v>
      </c>
      <c r="C23" s="18" t="n">
        <v>0.68</v>
      </c>
      <c r="D23" s="18" t="n">
        <v>0.6</v>
      </c>
      <c r="E23" s="16">
        <f>IF(Daily!G23="","",Daily!G23/B23)</f>
        <v/>
      </c>
      <c r="F23" s="16">
        <f>IF(Daily!G23="","",Daily!G23/C23)</f>
        <v/>
      </c>
      <c r="G23" s="16">
        <f>IF(Daily!G23="","",Daily!G23/D23)</f>
        <v/>
      </c>
    </row>
    <row r="24">
      <c r="A24" s="4" t="n">
        <v>23</v>
      </c>
      <c r="B24" s="18" t="n">
        <v>0.775</v>
      </c>
      <c r="C24" s="18" t="n">
        <v>0.7</v>
      </c>
      <c r="D24" s="18" t="n">
        <v>0.62</v>
      </c>
      <c r="E24" s="16">
        <f>IF(Daily!G24="","",Daily!G24/B24)</f>
        <v/>
      </c>
      <c r="F24" s="16">
        <f>IF(Daily!G24="","",Daily!G24/C24)</f>
        <v/>
      </c>
      <c r="G24" s="16">
        <f>IF(Daily!G24="","",Daily!G24/D24)</f>
        <v/>
      </c>
    </row>
    <row r="25">
      <c r="A25" s="4" t="n">
        <v>24</v>
      </c>
      <c r="B25" s="18" t="n">
        <v>0.7937</v>
      </c>
      <c r="C25" s="18" t="n">
        <v>0.72</v>
      </c>
      <c r="D25" s="18" t="n">
        <v>0.64</v>
      </c>
      <c r="E25" s="16">
        <f>IF(Daily!G25="","",Daily!G25/B25)</f>
        <v/>
      </c>
      <c r="F25" s="16">
        <f>IF(Daily!G25="","",Daily!G25/C25)</f>
        <v/>
      </c>
      <c r="G25" s="16">
        <f>IF(Daily!G25="","",Daily!G25/D25)</f>
        <v/>
      </c>
    </row>
    <row r="26">
      <c r="A26" s="4" t="n">
        <v>25</v>
      </c>
      <c r="B26" s="18" t="n">
        <v>0.8125</v>
      </c>
      <c r="C26" s="18" t="n">
        <v>0.74</v>
      </c>
      <c r="D26" s="18" t="n">
        <v>0.66</v>
      </c>
      <c r="E26" s="16">
        <f>IF(Daily!G26="","",Daily!G26/B26)</f>
        <v/>
      </c>
      <c r="F26" s="16">
        <f>IF(Daily!G26="","",Daily!G26/C26)</f>
        <v/>
      </c>
      <c r="G26" s="16">
        <f>IF(Daily!G26="","",Daily!G26/D26)</f>
        <v/>
      </c>
    </row>
    <row r="27">
      <c r="A27" s="4" t="n">
        <v>26</v>
      </c>
      <c r="B27" s="18" t="n">
        <v>0.8313</v>
      </c>
      <c r="C27" s="18" t="n">
        <v>0.76</v>
      </c>
      <c r="D27" s="18" t="n">
        <v>0.68</v>
      </c>
      <c r="E27" s="16">
        <f>IF(Daily!G27="","",Daily!G27/B27)</f>
        <v/>
      </c>
      <c r="F27" s="16">
        <f>IF(Daily!G27="","",Daily!G27/C27)</f>
        <v/>
      </c>
      <c r="G27" s="16">
        <f>IF(Daily!G27="","",Daily!G27/D27)</f>
        <v/>
      </c>
    </row>
    <row r="28">
      <c r="A28" s="4" t="n">
        <v>27</v>
      </c>
      <c r="B28" s="18" t="n">
        <v>0.85</v>
      </c>
      <c r="C28" s="18" t="n">
        <v>0.78</v>
      </c>
      <c r="D28" s="18" t="n">
        <v>0.7</v>
      </c>
      <c r="E28" s="16">
        <f>IF(Daily!G28="","",Daily!G28/B28)</f>
        <v/>
      </c>
      <c r="F28" s="16">
        <f>IF(Daily!G28="","",Daily!G28/C28)</f>
        <v/>
      </c>
      <c r="G28" s="16">
        <f>IF(Daily!G28="","",Daily!G28/D28)</f>
        <v/>
      </c>
    </row>
    <row r="29">
      <c r="A29" s="4" t="n">
        <v>28</v>
      </c>
      <c r="B29" s="18" t="n">
        <v>0.886</v>
      </c>
      <c r="C29" s="18" t="n">
        <v>0.8327</v>
      </c>
      <c r="D29" s="18" t="n">
        <v>0.7719</v>
      </c>
      <c r="E29" s="16">
        <f>IF(Daily!G29="","",Daily!G29/B29)</f>
        <v/>
      </c>
      <c r="F29" s="16">
        <f>IF(Daily!G29="","",Daily!G29/C29)</f>
        <v/>
      </c>
      <c r="G29" s="16">
        <f>IF(Daily!G29="","",Daily!G29/D29)</f>
        <v/>
      </c>
    </row>
    <row r="30">
      <c r="A30" s="4" t="n">
        <v>29</v>
      </c>
      <c r="B30" s="18" t="n">
        <v>0.9385</v>
      </c>
      <c r="C30" s="18" t="n">
        <v>0.9099</v>
      </c>
      <c r="D30" s="18" t="n">
        <v>0.8771</v>
      </c>
      <c r="E30" s="16">
        <f>IF(Daily!G30="","",Daily!G30/B30)</f>
        <v/>
      </c>
      <c r="F30" s="16">
        <f>IF(Daily!G30="","",Daily!G30/C30)</f>
        <v/>
      </c>
      <c r="G30" s="16">
        <f>IF(Daily!G30="","",Daily!G30/D30)</f>
        <v/>
      </c>
    </row>
    <row r="31">
      <c r="A31" s="4" t="n">
        <v>30</v>
      </c>
      <c r="B31" s="18" t="n">
        <v>1</v>
      </c>
      <c r="C31" s="18" t="n">
        <v>1</v>
      </c>
      <c r="D31" s="18" t="n">
        <v>1</v>
      </c>
      <c r="E31" s="16">
        <f>IF(Daily!G31="","",Daily!G31/B31)</f>
        <v/>
      </c>
      <c r="F31" s="16">
        <f>IF(Daily!G31="","",Daily!G31/C31)</f>
        <v/>
      </c>
      <c r="G31" s="16">
        <f>IF(Daily!G31="","",Daily!G31/D31)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12" customWidth="1" min="4" max="4"/>
    <col width="9" customWidth="1" min="5" max="5"/>
    <col width="50" customWidth="1" min="6" max="6"/>
  </cols>
  <sheetData>
    <row r="1" ht="42" customHeight="1">
      <c r="A1" s="11" t="inlineStr">
        <is>
          <t>#</t>
        </is>
      </c>
      <c r="B1" s="11" t="inlineStr">
        <is>
          <t>Trigger</t>
        </is>
      </c>
      <c r="C1" s="11" t="inlineStr">
        <is>
          <t>Value now</t>
        </is>
      </c>
      <c r="D1" s="11" t="inlineStr">
        <is>
          <t>Threshold</t>
        </is>
      </c>
      <c r="E1" s="11" t="inlineStr">
        <is>
          <t>Fired?</t>
        </is>
      </c>
      <c r="F1" s="11" t="inlineStr">
        <is>
          <t>Response (11 §4)</t>
        </is>
      </c>
    </row>
    <row r="2">
      <c r="A2" s="20" t="inlineStr">
        <is>
          <t>T1</t>
        </is>
      </c>
      <c r="B2" s="4" t="inlineStr">
        <is>
          <t>Pre-launch: expected launch backers cover &lt; 30% of goal (latest pre-launch row)</t>
        </is>
      </c>
      <c r="C2" s="15">
        <f>IF(COUNT('Pre-launch'!G2:G43)=0,"",INDEX('Pre-launch'!G2:G43,COUNT('Pre-launch'!G2:G43)))</f>
        <v/>
      </c>
      <c r="D2" s="10" t="n">
        <v>0.3</v>
      </c>
      <c r="E2" s="20">
        <f>IF(C2="","—",IF(C2&lt;D2,"FIRED","ok"))</f>
        <v/>
      </c>
      <c r="F2" s="4" t="inlineStr">
        <is>
          <t>Weak pre-launch: postpone launch (11 §4.1)</t>
        </is>
      </c>
    </row>
    <row r="3">
      <c r="A3" s="20" t="inlineStr">
        <is>
          <t>T2</t>
        </is>
      </c>
      <c r="B3" s="4" t="inlineStr">
        <is>
          <t>Funded % at end of day 2 below 20%</t>
        </is>
      </c>
      <c r="C3" s="15">
        <f>IF(Daily!I3="","",Daily!I3)</f>
        <v/>
      </c>
      <c r="D3" s="10" t="n">
        <v>0.2</v>
      </c>
      <c r="E3" s="20">
        <f>IF(C3="","—",IF(C3&lt;D3,"FIRED","ok"))</f>
        <v/>
      </c>
      <c r="F3" s="4" t="inlineStr">
        <is>
          <t>Slow first 48 h (11 §4.2)</t>
        </is>
      </c>
    </row>
    <row r="4">
      <c r="A4" s="20" t="inlineStr">
        <is>
          <t>T3</t>
        </is>
      </c>
      <c r="B4" s="4" t="inlineStr">
        <is>
          <t>Baseline forecast below 100% of goal (from day 4)</t>
        </is>
      </c>
      <c r="C4" s="15">
        <f>IF(OR(Forecast!J2&lt;4,Forecast!K4=""),"",Forecast!K4)</f>
        <v/>
      </c>
      <c r="D4" s="10" t="n">
        <v>1</v>
      </c>
      <c r="E4" s="20">
        <f>IF(C4="","—",IF(C4&lt;D4,"FIRED","ok"))</f>
        <v/>
      </c>
      <c r="F4" s="4" t="inlineStr">
        <is>
          <t>Funding below expectations (11 §4.5)</t>
        </is>
      </c>
    </row>
    <row r="5">
      <c r="A5" s="20" t="inlineStr">
        <is>
          <t>T4</t>
        </is>
      </c>
      <c r="B5" s="4" t="inlineStr">
        <is>
          <t>Pledged today &lt; 50% of needed-per-day for 3 days running (latest 3 filled days)</t>
        </is>
      </c>
      <c r="C5" s="24">
        <f>IF(Forecast!J2&lt;4,"",IF(AND(INDEX(Daily!C2:C31,Forecast!J2)&lt;0.5*INDEX(Daily!V2:V31,Forecast!J2-1),INDEX(Daily!C2:C31,Forecast!J2-1)&lt;0.5*INDEX(Daily!V2:V31,Forecast!J2-2),INDEX(Daily!C2:C31,Forecast!J2-2)&lt;0.5*INDEX(Daily!V2:V31,Forecast!J2-3)),1,0))</f>
        <v/>
      </c>
      <c r="D5" s="25" t="n">
        <v>1</v>
      </c>
      <c r="E5" s="20">
        <f>IF(C5="","—",IF(C5=D5,"FIRED","ok"))</f>
        <v/>
      </c>
      <c r="F5" s="4" t="inlineStr">
        <is>
          <t>Mid-campaign plateau (11 §4.3)</t>
        </is>
      </c>
    </row>
    <row r="6">
      <c r="A6" s="20" t="inlineStr">
        <is>
          <t>T5</t>
        </is>
      </c>
      <c r="B6" s="4" t="inlineStr">
        <is>
          <t>Cancellations above threshold (% of gross pledged)</t>
        </is>
      </c>
      <c r="C6" s="15">
        <f>IF(SUM(Daily!C2:C31)=0,"",SUM(Daily!E2:E31)/SUM(Daily!C2:C31))</f>
        <v/>
      </c>
      <c r="D6" s="26">
        <f>Inputs!B8</f>
        <v/>
      </c>
      <c r="E6" s="20">
        <f>IF(C6="","—",IF(C6&gt;D6,"FIRED","ok"))</f>
        <v/>
      </c>
      <c r="F6" s="4" t="inlineStr">
        <is>
          <t>Investigate: price, a bad update, card failures</t>
        </is>
      </c>
    </row>
    <row r="7">
      <c r="A7" s="20" t="inlineStr">
        <is>
          <t>T6</t>
        </is>
      </c>
      <c r="B7" s="4" t="inlineStr">
        <is>
          <t>Ad cost per backer above net revenue per backer</t>
        </is>
      </c>
      <c r="C7" s="17">
        <f>IF(SUM(Daily!S2:S31)=0,"",SUM(Daily!R2:R31)/SUM(Daily!S2:S31))</f>
        <v/>
      </c>
      <c r="D7" s="27">
        <f>Inputs!B6</f>
        <v/>
      </c>
      <c r="E7" s="20">
        <f>IF(C7="","—",IF(C7&gt;D7,"FIRED","ok"))</f>
        <v/>
      </c>
      <c r="F7" s="4" t="inlineStr">
        <is>
          <t>Pause the ads (11 §4)</t>
        </is>
      </c>
    </row>
    <row r="8">
      <c r="A8" s="20" t="inlineStr">
        <is>
          <t>T7</t>
        </is>
      </c>
      <c r="B8" s="4" t="inlineStr">
        <is>
          <t>Optimistic forecast above 300% of goal (from day 4)</t>
        </is>
      </c>
      <c r="C8" s="15">
        <f>IF(OR(Forecast!J2&lt;4,Forecast!K5=""),"",Forecast!K5)</f>
        <v/>
      </c>
      <c r="D8" s="10" t="n">
        <v>3</v>
      </c>
      <c r="E8" s="20">
        <f>IF(C8="","—",IF(C8&gt;D8,"FIRED","ok"))</f>
        <v/>
      </c>
      <c r="F8" s="4" t="inlineStr">
        <is>
          <t>Sudden attention (11 §4.4)</t>
        </is>
      </c>
    </row>
    <row r="9">
      <c r="A9" s="20" t="inlineStr">
        <is>
          <t>T8</t>
        </is>
      </c>
      <c r="B9" s="4" t="inlineStr">
        <is>
          <t>A limited tier sold out (remaining = 0)</t>
        </is>
      </c>
      <c r="C9" s="24">
        <f>IF(OR(Tiers!I3=0,Tiers!I8=0),1,0)</f>
        <v/>
      </c>
      <c r="D9" s="25" t="n">
        <v>1</v>
      </c>
      <c r="E9" s="20">
        <f>IF(C9="","—",IF(C9=D9,"FIRED","ok"))</f>
        <v/>
      </c>
      <c r="F9" s="4" t="inlineStr">
        <is>
          <t>Say so once in an update; do NOT add another limited tier</t>
        </is>
      </c>
    </row>
  </sheetData>
  <conditionalFormatting sqref="E2:E9">
    <cfRule type="cellIs" priority="1" operator="equal" dxfId="0">
      <formula>"FIRED"</formula>
    </cfRule>
    <cfRule type="cellIs" priority="2" operator="equal" dxfId="1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2026-10-20T16:04:35Z</dcterms:created>
  <dcterms:modified xsi:type="dcterms:W3CDTF">2026-10-20T16:04:35Z</dcterms:modified>
</cp:coreProperties>
</file>