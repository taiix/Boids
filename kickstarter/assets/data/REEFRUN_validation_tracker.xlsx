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eekly KPIs" sheetId="2" state="visible" r:id="rId2"/>
    <sheet name="Clips" sheetId="3" state="visible" r:id="rId3"/>
    <sheet name="Concepts" sheetId="4" state="visible" r:id="rId4"/>
    <sheet name="Playtest Survey" sheetId="5" state="visible" r:id="rId5"/>
    <sheet name="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"/>
    <numFmt numFmtId="166" formatCode="0.0%;(0.0%);&quot;-&quot;"/>
    <numFmt numFmtId="167" formatCode="€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i val="1"/>
      <color rgb="0080808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0B3B52"/>
      </patternFill>
    </fill>
    <fill>
      <patternFill patternType="solid">
        <fgColor rgb="00FFFF00"/>
      </patternFill>
    </fill>
    <fill>
      <patternFill patternType="solid">
        <fgColor rgb="00DDEF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0" fontId="5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164" fontId="6" fillId="3" borderId="0" pivotButton="0" quotePrefix="0" xfId="0"/>
    <xf numFmtId="1" fontId="2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166" fontId="6" fillId="3" borderId="0" pivotButton="0" quotePrefix="0" xfId="0"/>
    <xf numFmtId="164" fontId="6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REEF RUN</author>
  </authors>
  <commentList>
    <comment ref="C6" authorId="0" shapeId="0">
      <text>
        <t>02 §3 decision rule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REEF RUN — demand validation tracker (02_DEMAND_VALIDATION.md)</t>
        </is>
      </c>
    </row>
    <row r="2">
      <c r="A2" s="2" t="inlineStr">
        <is>
          <t>Blue = you type it in. Black = formula. Grey italic row = an EXAMPLE showing the format; overwrite it. Yellow = threshold you may change.</t>
        </is>
      </c>
    </row>
    <row r="3">
      <c r="A3" s="2" t="inlineStr">
        <is>
          <t>Weekly KPIs: one row per week, numbers from Steamworks (UTM + wishlist reports), the email tool, Discord and playtest logs.</t>
        </is>
      </c>
    </row>
    <row r="4">
      <c r="A4" s="2" t="inlineStr">
        <is>
          <t>Clips: one row per short video per platform, metrics at 72 hours. Concepts: A = 'It can hear you', B = 'Be the shark', C = 'Hide in plain sight'.</t>
        </is>
      </c>
    </row>
    <row r="5">
      <c r="A5" s="2" t="inlineStr">
        <is>
          <t>Survey: one row per playtest respondent. Only respondents with 3+ rounds count toward the purchase-intent gate.</t>
        </is>
      </c>
    </row>
    <row r="6">
      <c r="A6" s="3" t="inlineStr">
        <is>
          <t>Gates: computed from the other sheets. Vanity numbers (views, likes, followers) are logged but never decide a gate.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13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  <col width="10" customWidth="1" min="16" max="16"/>
    <col width="12" customWidth="1" min="17" max="17"/>
    <col width="10" customWidth="1" min="18" max="18"/>
    <col width="11" customWidth="1" min="19" max="19"/>
    <col width="40" customWidth="1" min="20" max="20"/>
  </cols>
  <sheetData>
    <row r="1" ht="42" customHeight="1">
      <c r="A1" s="4" t="inlineStr">
        <is>
          <t>Week #</t>
        </is>
      </c>
      <c r="B1" s="4" t="inlineStr">
        <is>
          <t>Week start</t>
        </is>
      </c>
      <c r="C1" s="4" t="inlineStr">
        <is>
          <t>Steam page visits</t>
        </is>
      </c>
      <c r="D1" s="4" t="inlineStr">
        <is>
          <t>Wishlist adds</t>
        </is>
      </c>
      <c r="E1" s="4" t="inlineStr">
        <is>
          <t>Wishlist deletes</t>
        </is>
      </c>
      <c r="F1" s="4" t="inlineStr">
        <is>
          <t>Net wishlists</t>
        </is>
      </c>
      <c r="G1" s="4" t="inlineStr">
        <is>
          <t>Cumulative wishlists</t>
        </is>
      </c>
      <c r="H1" s="4" t="inlineStr">
        <is>
          <t>Email signups (confirmed)</t>
        </is>
      </c>
      <c r="I1" s="4" t="inlineStr">
        <is>
          <t>Cumulative email</t>
        </is>
      </c>
      <c r="J1" s="4" t="inlineStr">
        <is>
          <t>KS pre-launch followers (total)</t>
        </is>
      </c>
      <c r="K1" s="4" t="inlineStr">
        <is>
          <t>Discord joins</t>
        </is>
      </c>
      <c r="L1" s="4" t="inlineStr">
        <is>
          <t>Playtest sessions</t>
        </is>
      </c>
      <c r="M1" s="4" t="inlineStr">
        <is>
          <t>Unique playtesters</t>
        </is>
      </c>
      <c r="N1" s="4" t="inlineStr">
        <is>
          <t>Groups that played</t>
        </is>
      </c>
      <c r="O1" s="4" t="inlineStr">
        <is>
          <t>Groups returning another day</t>
        </is>
      </c>
      <c r="P1" s="4" t="inlineStr">
        <is>
          <t>Paid spend (EUR)</t>
        </is>
      </c>
      <c r="Q1" s="4" t="inlineStr">
        <is>
          <t>Wishlists per 1k visits</t>
        </is>
      </c>
      <c r="R1" s="4" t="inlineStr">
        <is>
          <t>Group return rate</t>
        </is>
      </c>
      <c r="S1" s="4" t="inlineStr">
        <is>
          <t>Cost per net wishlist</t>
        </is>
      </c>
      <c r="T1" s="4" t="inlineStr">
        <is>
          <t>Notes</t>
        </is>
      </c>
    </row>
    <row r="2">
      <c r="A2" s="5" t="n">
        <v>1</v>
      </c>
      <c r="B2" s="6" t="inlineStr">
        <is>
          <t>2026-11-02</t>
        </is>
      </c>
      <c r="C2" s="6" t="n">
        <v>640</v>
      </c>
      <c r="D2" s="6" t="n">
        <v>38</v>
      </c>
      <c r="E2" s="6" t="n">
        <v>3</v>
      </c>
      <c r="F2" s="7">
        <f>IF(D2="","",D2-E2)</f>
        <v/>
      </c>
      <c r="G2" s="7">
        <f>IF(F2="","",SUM($F$2:F2))</f>
        <v/>
      </c>
      <c r="H2" s="6" t="n">
        <v>21</v>
      </c>
      <c r="I2" s="7">
        <f>IF(H2="","",SUM($H$2:H2))</f>
        <v/>
      </c>
      <c r="J2" s="6" t="n">
        <v>0</v>
      </c>
      <c r="K2" s="6" t="n">
        <v>15</v>
      </c>
      <c r="L2" s="6" t="n">
        <v>2</v>
      </c>
      <c r="M2" s="6" t="n">
        <v>9</v>
      </c>
      <c r="N2" s="6" t="n">
        <v>3</v>
      </c>
      <c r="O2" s="6" t="n">
        <v>1</v>
      </c>
      <c r="P2" s="6" t="n">
        <v>0</v>
      </c>
      <c r="Q2" s="8">
        <f>IF(OR(C2="",C2=0),"",1000*F2/C2)</f>
        <v/>
      </c>
      <c r="R2" s="9">
        <f>IF(OR(N2="",N2=0),"",O2/N2)</f>
        <v/>
      </c>
      <c r="S2" s="10">
        <f>IF(OR(F2="",F2&lt;=0,P2=""),"",P2/F2)</f>
        <v/>
      </c>
      <c r="T2" s="6" t="inlineStr">
        <is>
          <t>EXAMPLE ROW — replace with week 1</t>
        </is>
      </c>
    </row>
    <row r="3">
      <c r="A3" s="5" t="n">
        <v>2</v>
      </c>
      <c r="F3" s="7">
        <f>IF(D3="","",D3-E3)</f>
        <v/>
      </c>
      <c r="G3" s="7">
        <f>IF(F3="","",SUM($F$2:F3))</f>
        <v/>
      </c>
      <c r="I3" s="7">
        <f>IF(H3="","",SUM($H$2:H3))</f>
        <v/>
      </c>
      <c r="Q3" s="8">
        <f>IF(OR(C3="",C3=0),"",1000*F3/C3)</f>
        <v/>
      </c>
      <c r="R3" s="9">
        <f>IF(OR(N3="",N3=0),"",O3/N3)</f>
        <v/>
      </c>
      <c r="S3" s="10">
        <f>IF(OR(F3="",F3&lt;=0,P3=""),"",P3/F3)</f>
        <v/>
      </c>
    </row>
    <row r="4">
      <c r="A4" s="5" t="n">
        <v>3</v>
      </c>
      <c r="F4" s="7">
        <f>IF(D4="","",D4-E4)</f>
        <v/>
      </c>
      <c r="G4" s="7">
        <f>IF(F4="","",SUM($F$2:F4))</f>
        <v/>
      </c>
      <c r="I4" s="7">
        <f>IF(H4="","",SUM($H$2:H4))</f>
        <v/>
      </c>
      <c r="Q4" s="8">
        <f>IF(OR(C4="",C4=0),"",1000*F4/C4)</f>
        <v/>
      </c>
      <c r="R4" s="9">
        <f>IF(OR(N4="",N4=0),"",O4/N4)</f>
        <v/>
      </c>
      <c r="S4" s="10">
        <f>IF(OR(F4="",F4&lt;=0,P4=""),"",P4/F4)</f>
        <v/>
      </c>
    </row>
    <row r="5">
      <c r="A5" s="5" t="n">
        <v>4</v>
      </c>
      <c r="F5" s="7">
        <f>IF(D5="","",D5-E5)</f>
        <v/>
      </c>
      <c r="G5" s="7">
        <f>IF(F5="","",SUM($F$2:F5))</f>
        <v/>
      </c>
      <c r="I5" s="7">
        <f>IF(H5="","",SUM($H$2:H5))</f>
        <v/>
      </c>
      <c r="Q5" s="8">
        <f>IF(OR(C5="",C5=0),"",1000*F5/C5)</f>
        <v/>
      </c>
      <c r="R5" s="9">
        <f>IF(OR(N5="",N5=0),"",O5/N5)</f>
        <v/>
      </c>
      <c r="S5" s="10">
        <f>IF(OR(F5="",F5&lt;=0,P5=""),"",P5/F5)</f>
        <v/>
      </c>
    </row>
    <row r="6">
      <c r="A6" s="5" t="n">
        <v>5</v>
      </c>
      <c r="F6" s="7">
        <f>IF(D6="","",D6-E6)</f>
        <v/>
      </c>
      <c r="G6" s="7">
        <f>IF(F6="","",SUM($F$2:F6))</f>
        <v/>
      </c>
      <c r="I6" s="7">
        <f>IF(H6="","",SUM($H$2:H6))</f>
        <v/>
      </c>
      <c r="Q6" s="8">
        <f>IF(OR(C6="",C6=0),"",1000*F6/C6)</f>
        <v/>
      </c>
      <c r="R6" s="9">
        <f>IF(OR(N6="",N6=0),"",O6/N6)</f>
        <v/>
      </c>
      <c r="S6" s="10">
        <f>IF(OR(F6="",F6&lt;=0,P6=""),"",P6/F6)</f>
        <v/>
      </c>
    </row>
    <row r="7">
      <c r="A7" s="5" t="n">
        <v>6</v>
      </c>
      <c r="F7" s="7">
        <f>IF(D7="","",D7-E7)</f>
        <v/>
      </c>
      <c r="G7" s="7">
        <f>IF(F7="","",SUM($F$2:F7))</f>
        <v/>
      </c>
      <c r="I7" s="7">
        <f>IF(H7="","",SUM($H$2:H7))</f>
        <v/>
      </c>
      <c r="Q7" s="8">
        <f>IF(OR(C7="",C7=0),"",1000*F7/C7)</f>
        <v/>
      </c>
      <c r="R7" s="9">
        <f>IF(OR(N7="",N7=0),"",O7/N7)</f>
        <v/>
      </c>
      <c r="S7" s="10">
        <f>IF(OR(F7="",F7&lt;=0,P7=""),"",P7/F7)</f>
        <v/>
      </c>
    </row>
    <row r="8">
      <c r="A8" s="5" t="n">
        <v>7</v>
      </c>
      <c r="F8" s="7">
        <f>IF(D8="","",D8-E8)</f>
        <v/>
      </c>
      <c r="G8" s="7">
        <f>IF(F8="","",SUM($F$2:F8))</f>
        <v/>
      </c>
      <c r="I8" s="7">
        <f>IF(H8="","",SUM($H$2:H8))</f>
        <v/>
      </c>
      <c r="Q8" s="8">
        <f>IF(OR(C8="",C8=0),"",1000*F8/C8)</f>
        <v/>
      </c>
      <c r="R8" s="9">
        <f>IF(OR(N8="",N8=0),"",O8/N8)</f>
        <v/>
      </c>
      <c r="S8" s="10">
        <f>IF(OR(F8="",F8&lt;=0,P8=""),"",P8/F8)</f>
        <v/>
      </c>
    </row>
    <row r="9">
      <c r="A9" s="5" t="n">
        <v>8</v>
      </c>
      <c r="F9" s="7">
        <f>IF(D9="","",D9-E9)</f>
        <v/>
      </c>
      <c r="G9" s="7">
        <f>IF(F9="","",SUM($F$2:F9))</f>
        <v/>
      </c>
      <c r="I9" s="7">
        <f>IF(H9="","",SUM($H$2:H9))</f>
        <v/>
      </c>
      <c r="Q9" s="8">
        <f>IF(OR(C9="",C9=0),"",1000*F9/C9)</f>
        <v/>
      </c>
      <c r="R9" s="9">
        <f>IF(OR(N9="",N9=0),"",O9/N9)</f>
        <v/>
      </c>
      <c r="S9" s="10">
        <f>IF(OR(F9="",F9&lt;=0,P9=""),"",P9/F9)</f>
        <v/>
      </c>
    </row>
    <row r="10">
      <c r="A10" s="5" t="n">
        <v>9</v>
      </c>
      <c r="F10" s="7">
        <f>IF(D10="","",D10-E10)</f>
        <v/>
      </c>
      <c r="G10" s="7">
        <f>IF(F10="","",SUM($F$2:F10))</f>
        <v/>
      </c>
      <c r="I10" s="7">
        <f>IF(H10="","",SUM($H$2:H10))</f>
        <v/>
      </c>
      <c r="Q10" s="8">
        <f>IF(OR(C10="",C10=0),"",1000*F10/C10)</f>
        <v/>
      </c>
      <c r="R10" s="9">
        <f>IF(OR(N10="",N10=0),"",O10/N10)</f>
        <v/>
      </c>
      <c r="S10" s="10">
        <f>IF(OR(F10="",F10&lt;=0,P10=""),"",P10/F10)</f>
        <v/>
      </c>
    </row>
    <row r="11">
      <c r="A11" s="5" t="n">
        <v>10</v>
      </c>
      <c r="F11" s="7">
        <f>IF(D11="","",D11-E11)</f>
        <v/>
      </c>
      <c r="G11" s="7">
        <f>IF(F11="","",SUM($F$2:F11))</f>
        <v/>
      </c>
      <c r="I11" s="7">
        <f>IF(H11="","",SUM($H$2:H11))</f>
        <v/>
      </c>
      <c r="Q11" s="8">
        <f>IF(OR(C11="",C11=0),"",1000*F11/C11)</f>
        <v/>
      </c>
      <c r="R11" s="9">
        <f>IF(OR(N11="",N11=0),"",O11/N11)</f>
        <v/>
      </c>
      <c r="S11" s="10">
        <f>IF(OR(F11="",F11&lt;=0,P11=""),"",P11/F11)</f>
        <v/>
      </c>
    </row>
    <row r="12">
      <c r="A12" s="5" t="n">
        <v>11</v>
      </c>
      <c r="F12" s="7">
        <f>IF(D12="","",D12-E12)</f>
        <v/>
      </c>
      <c r="G12" s="7">
        <f>IF(F12="","",SUM($F$2:F12))</f>
        <v/>
      </c>
      <c r="I12" s="7">
        <f>IF(H12="","",SUM($H$2:H12))</f>
        <v/>
      </c>
      <c r="Q12" s="8">
        <f>IF(OR(C12="",C12=0),"",1000*F12/C12)</f>
        <v/>
      </c>
      <c r="R12" s="9">
        <f>IF(OR(N12="",N12=0),"",O12/N12)</f>
        <v/>
      </c>
      <c r="S12" s="10">
        <f>IF(OR(F12="",F12&lt;=0,P12=""),"",P12/F12)</f>
        <v/>
      </c>
    </row>
    <row r="13">
      <c r="A13" s="5" t="n">
        <v>12</v>
      </c>
      <c r="F13" s="7">
        <f>IF(D13="","",D13-E13)</f>
        <v/>
      </c>
      <c r="G13" s="7">
        <f>IF(F13="","",SUM($F$2:F13))</f>
        <v/>
      </c>
      <c r="I13" s="7">
        <f>IF(H13="","",SUM($H$2:H13))</f>
        <v/>
      </c>
      <c r="Q13" s="8">
        <f>IF(OR(C13="",C13=0),"",1000*F13/C13)</f>
        <v/>
      </c>
      <c r="R13" s="9">
        <f>IF(OR(N13="",N13=0),"",O13/N13)</f>
        <v/>
      </c>
      <c r="S13" s="10">
        <f>IF(OR(F13="",F13&lt;=0,P13=""),"",P13/F13)</f>
        <v/>
      </c>
    </row>
    <row r="14">
      <c r="A14" s="5" t="n">
        <v>13</v>
      </c>
      <c r="F14" s="7">
        <f>IF(D14="","",D14-E14)</f>
        <v/>
      </c>
      <c r="G14" s="7">
        <f>IF(F14="","",SUM($F$2:F14))</f>
        <v/>
      </c>
      <c r="I14" s="7">
        <f>IF(H14="","",SUM($H$2:H14))</f>
        <v/>
      </c>
      <c r="Q14" s="8">
        <f>IF(OR(C14="",C14=0),"",1000*F14/C14)</f>
        <v/>
      </c>
      <c r="R14" s="9">
        <f>IF(OR(N14="",N14=0),"",O14/N14)</f>
        <v/>
      </c>
      <c r="S14" s="10">
        <f>IF(OR(F14="",F14&lt;=0,P14=""),"",P14/F14)</f>
        <v/>
      </c>
    </row>
    <row r="15">
      <c r="A15" s="5" t="n">
        <v>14</v>
      </c>
      <c r="F15" s="7">
        <f>IF(D15="","",D15-E15)</f>
        <v/>
      </c>
      <c r="G15" s="7">
        <f>IF(F15="","",SUM($F$2:F15))</f>
        <v/>
      </c>
      <c r="I15" s="7">
        <f>IF(H15="","",SUM($H$2:H15))</f>
        <v/>
      </c>
      <c r="Q15" s="8">
        <f>IF(OR(C15="",C15=0),"",1000*F15/C15)</f>
        <v/>
      </c>
      <c r="R15" s="9">
        <f>IF(OR(N15="",N15=0),"",O15/N15)</f>
        <v/>
      </c>
      <c r="S15" s="10">
        <f>IF(OR(F15="",F15&lt;=0,P15=""),"",P15/F15)</f>
        <v/>
      </c>
    </row>
    <row r="16">
      <c r="A16" s="5" t="n">
        <v>15</v>
      </c>
      <c r="F16" s="7">
        <f>IF(D16="","",D16-E16)</f>
        <v/>
      </c>
      <c r="G16" s="7">
        <f>IF(F16="","",SUM($F$2:F16))</f>
        <v/>
      </c>
      <c r="I16" s="7">
        <f>IF(H16="","",SUM($H$2:H16))</f>
        <v/>
      </c>
      <c r="Q16" s="8">
        <f>IF(OR(C16="",C16=0),"",1000*F16/C16)</f>
        <v/>
      </c>
      <c r="R16" s="9">
        <f>IF(OR(N16="",N16=0),"",O16/N16)</f>
        <v/>
      </c>
      <c r="S16" s="10">
        <f>IF(OR(F16="",F16&lt;=0,P16=""),"",P16/F16)</f>
        <v/>
      </c>
    </row>
    <row r="17">
      <c r="A17" s="5" t="n">
        <v>16</v>
      </c>
      <c r="F17" s="7">
        <f>IF(D17="","",D17-E17)</f>
        <v/>
      </c>
      <c r="G17" s="7">
        <f>IF(F17="","",SUM($F$2:F17))</f>
        <v/>
      </c>
      <c r="I17" s="7">
        <f>IF(H17="","",SUM($H$2:H17))</f>
        <v/>
      </c>
      <c r="Q17" s="8">
        <f>IF(OR(C17="",C17=0),"",1000*F17/C17)</f>
        <v/>
      </c>
      <c r="R17" s="9">
        <f>IF(OR(N17="",N17=0),"",O17/N17)</f>
        <v/>
      </c>
      <c r="S17" s="10">
        <f>IF(OR(F17="",F17&lt;=0,P17=""),"",P17/F17)</f>
        <v/>
      </c>
    </row>
    <row r="18">
      <c r="A18" s="5" t="n">
        <v>17</v>
      </c>
      <c r="F18" s="7">
        <f>IF(D18="","",D18-E18)</f>
        <v/>
      </c>
      <c r="G18" s="7">
        <f>IF(F18="","",SUM($F$2:F18))</f>
        <v/>
      </c>
      <c r="I18" s="7">
        <f>IF(H18="","",SUM($H$2:H18))</f>
        <v/>
      </c>
      <c r="Q18" s="8">
        <f>IF(OR(C18="",C18=0),"",1000*F18/C18)</f>
        <v/>
      </c>
      <c r="R18" s="9">
        <f>IF(OR(N18="",N18=0),"",O18/N18)</f>
        <v/>
      </c>
      <c r="S18" s="10">
        <f>IF(OR(F18="",F18&lt;=0,P18=""),"",P18/F18)</f>
        <v/>
      </c>
    </row>
    <row r="19">
      <c r="A19" s="5" t="n">
        <v>18</v>
      </c>
      <c r="F19" s="7">
        <f>IF(D19="","",D19-E19)</f>
        <v/>
      </c>
      <c r="G19" s="7">
        <f>IF(F19="","",SUM($F$2:F19))</f>
        <v/>
      </c>
      <c r="I19" s="7">
        <f>IF(H19="","",SUM($H$2:H19))</f>
        <v/>
      </c>
      <c r="Q19" s="8">
        <f>IF(OR(C19="",C19=0),"",1000*F19/C19)</f>
        <v/>
      </c>
      <c r="R19" s="9">
        <f>IF(OR(N19="",N19=0),"",O19/N19)</f>
        <v/>
      </c>
      <c r="S19" s="10">
        <f>IF(OR(F19="",F19&lt;=0,P19=""),"",P19/F19)</f>
        <v/>
      </c>
    </row>
    <row r="20">
      <c r="A20" s="5" t="n">
        <v>19</v>
      </c>
      <c r="F20" s="7">
        <f>IF(D20="","",D20-E20)</f>
        <v/>
      </c>
      <c r="G20" s="7">
        <f>IF(F20="","",SUM($F$2:F20))</f>
        <v/>
      </c>
      <c r="I20" s="7">
        <f>IF(H20="","",SUM($H$2:H20))</f>
        <v/>
      </c>
      <c r="Q20" s="8">
        <f>IF(OR(C20="",C20=0),"",1000*F20/C20)</f>
        <v/>
      </c>
      <c r="R20" s="9">
        <f>IF(OR(N20="",N20=0),"",O20/N20)</f>
        <v/>
      </c>
      <c r="S20" s="10">
        <f>IF(OR(F20="",F20&lt;=0,P20=""),"",P20/F20)</f>
        <v/>
      </c>
    </row>
    <row r="21">
      <c r="A21" s="5" t="n">
        <v>20</v>
      </c>
      <c r="F21" s="7">
        <f>IF(D21="","",D21-E21)</f>
        <v/>
      </c>
      <c r="G21" s="7">
        <f>IF(F21="","",SUM($F$2:F21))</f>
        <v/>
      </c>
      <c r="I21" s="7">
        <f>IF(H21="","",SUM($H$2:H21))</f>
        <v/>
      </c>
      <c r="Q21" s="8">
        <f>IF(OR(C21="",C21=0),"",1000*F21/C21)</f>
        <v/>
      </c>
      <c r="R21" s="9">
        <f>IF(OR(N21="",N21=0),"",O21/N21)</f>
        <v/>
      </c>
      <c r="S21" s="10">
        <f>IF(OR(F21="",F21&lt;=0,P21=""),"",P21/F21)</f>
        <v/>
      </c>
    </row>
    <row r="22">
      <c r="A22" s="5" t="n">
        <v>21</v>
      </c>
      <c r="F22" s="7">
        <f>IF(D22="","",D22-E22)</f>
        <v/>
      </c>
      <c r="G22" s="7">
        <f>IF(F22="","",SUM($F$2:F22))</f>
        <v/>
      </c>
      <c r="I22" s="7">
        <f>IF(H22="","",SUM($H$2:H22))</f>
        <v/>
      </c>
      <c r="Q22" s="8">
        <f>IF(OR(C22="",C22=0),"",1000*F22/C22)</f>
        <v/>
      </c>
      <c r="R22" s="9">
        <f>IF(OR(N22="",N22=0),"",O22/N22)</f>
        <v/>
      </c>
      <c r="S22" s="10">
        <f>IF(OR(F22="",F22&lt;=0,P22=""),"",P22/F22)</f>
        <v/>
      </c>
    </row>
    <row r="23">
      <c r="A23" s="5" t="n">
        <v>22</v>
      </c>
      <c r="F23" s="7">
        <f>IF(D23="","",D23-E23)</f>
        <v/>
      </c>
      <c r="G23" s="7">
        <f>IF(F23="","",SUM($F$2:F23))</f>
        <v/>
      </c>
      <c r="I23" s="7">
        <f>IF(H23="","",SUM($H$2:H23))</f>
        <v/>
      </c>
      <c r="Q23" s="8">
        <f>IF(OR(C23="",C23=0),"",1000*F23/C23)</f>
        <v/>
      </c>
      <c r="R23" s="9">
        <f>IF(OR(N23="",N23=0),"",O23/N23)</f>
        <v/>
      </c>
      <c r="S23" s="10">
        <f>IF(OR(F23="",F23&lt;=0,P23=""),"",P23/F23)</f>
        <v/>
      </c>
    </row>
    <row r="24">
      <c r="A24" s="5" t="n">
        <v>23</v>
      </c>
      <c r="F24" s="7">
        <f>IF(D24="","",D24-E24)</f>
        <v/>
      </c>
      <c r="G24" s="7">
        <f>IF(F24="","",SUM($F$2:F24))</f>
        <v/>
      </c>
      <c r="I24" s="7">
        <f>IF(H24="","",SUM($H$2:H24))</f>
        <v/>
      </c>
      <c r="Q24" s="8">
        <f>IF(OR(C24="",C24=0),"",1000*F24/C24)</f>
        <v/>
      </c>
      <c r="R24" s="9">
        <f>IF(OR(N24="",N24=0),"",O24/N24)</f>
        <v/>
      </c>
      <c r="S24" s="10">
        <f>IF(OR(F24="",F24&lt;=0,P24=""),"",P24/F24)</f>
        <v/>
      </c>
    </row>
    <row r="25">
      <c r="A25" s="5" t="n">
        <v>24</v>
      </c>
      <c r="F25" s="7">
        <f>IF(D25="","",D25-E25)</f>
        <v/>
      </c>
      <c r="G25" s="7">
        <f>IF(F25="","",SUM($F$2:F25))</f>
        <v/>
      </c>
      <c r="I25" s="7">
        <f>IF(H25="","",SUM($H$2:H25))</f>
        <v/>
      </c>
      <c r="Q25" s="8">
        <f>IF(OR(C25="",C25=0),"",1000*F25/C25)</f>
        <v/>
      </c>
      <c r="R25" s="9">
        <f>IF(OR(N25="",N25=0),"",O25/N25)</f>
        <v/>
      </c>
      <c r="S25" s="10">
        <f>IF(OR(F25="",F25&lt;=0,P25=""),"",P25/F25)</f>
        <v/>
      </c>
    </row>
    <row r="26">
      <c r="A26" s="5" t="n">
        <v>25</v>
      </c>
      <c r="F26" s="7">
        <f>IF(D26="","",D26-E26)</f>
        <v/>
      </c>
      <c r="G26" s="7">
        <f>IF(F26="","",SUM($F$2:F26))</f>
        <v/>
      </c>
      <c r="I26" s="7">
        <f>IF(H26="","",SUM($H$2:H26))</f>
        <v/>
      </c>
      <c r="Q26" s="8">
        <f>IF(OR(C26="",C26=0),"",1000*F26/C26)</f>
        <v/>
      </c>
      <c r="R26" s="9">
        <f>IF(OR(N26="",N26=0),"",O26/N26)</f>
        <v/>
      </c>
      <c r="S26" s="10">
        <f>IF(OR(F26="",F26&lt;=0,P26=""),"",P26/F26)</f>
        <v/>
      </c>
    </row>
    <row r="27">
      <c r="A27" s="5" t="n">
        <v>26</v>
      </c>
      <c r="F27" s="7">
        <f>IF(D27="","",D27-E27)</f>
        <v/>
      </c>
      <c r="G27" s="7">
        <f>IF(F27="","",SUM($F$2:F27))</f>
        <v/>
      </c>
      <c r="I27" s="7">
        <f>IF(H27="","",SUM($H$2:H27))</f>
        <v/>
      </c>
      <c r="Q27" s="8">
        <f>IF(OR(C27="",C27=0),"",1000*F27/C27)</f>
        <v/>
      </c>
      <c r="R27" s="9">
        <f>IF(OR(N27="",N27=0),"",O27/N27)</f>
        <v/>
      </c>
      <c r="S27" s="10">
        <f>IF(OR(F27="",F27&lt;=0,P27=""),"",P27/F27)</f>
        <v/>
      </c>
    </row>
    <row r="28">
      <c r="A28" s="5" t="n">
        <v>27</v>
      </c>
      <c r="F28" s="7">
        <f>IF(D28="","",D28-E28)</f>
        <v/>
      </c>
      <c r="G28" s="7">
        <f>IF(F28="","",SUM($F$2:F28))</f>
        <v/>
      </c>
      <c r="I28" s="7">
        <f>IF(H28="","",SUM($H$2:H28))</f>
        <v/>
      </c>
      <c r="Q28" s="8">
        <f>IF(OR(C28="",C28=0),"",1000*F28/C28)</f>
        <v/>
      </c>
      <c r="R28" s="9">
        <f>IF(OR(N28="",N28=0),"",O28/N28)</f>
        <v/>
      </c>
      <c r="S28" s="10">
        <f>IF(OR(F28="",F28&lt;=0,P28=""),"",P28/F28)</f>
        <v/>
      </c>
    </row>
    <row r="29">
      <c r="A29" s="5" t="n">
        <v>28</v>
      </c>
      <c r="F29" s="7">
        <f>IF(D29="","",D29-E29)</f>
        <v/>
      </c>
      <c r="G29" s="7">
        <f>IF(F29="","",SUM($F$2:F29))</f>
        <v/>
      </c>
      <c r="I29" s="7">
        <f>IF(H29="","",SUM($H$2:H29))</f>
        <v/>
      </c>
      <c r="Q29" s="8">
        <f>IF(OR(C29="",C29=0),"",1000*F29/C29)</f>
        <v/>
      </c>
      <c r="R29" s="9">
        <f>IF(OR(N29="",N29=0),"",O29/N29)</f>
        <v/>
      </c>
      <c r="S29" s="10">
        <f>IF(OR(F29="",F29&lt;=0,P29=""),"",P29/F29)</f>
        <v/>
      </c>
    </row>
    <row r="30">
      <c r="A30" s="5" t="n">
        <v>29</v>
      </c>
      <c r="F30" s="7">
        <f>IF(D30="","",D30-E30)</f>
        <v/>
      </c>
      <c r="G30" s="7">
        <f>IF(F30="","",SUM($F$2:F30))</f>
        <v/>
      </c>
      <c r="I30" s="7">
        <f>IF(H30="","",SUM($H$2:H30))</f>
        <v/>
      </c>
      <c r="Q30" s="8">
        <f>IF(OR(C30="",C30=0),"",1000*F30/C30)</f>
        <v/>
      </c>
      <c r="R30" s="9">
        <f>IF(OR(N30="",N30=0),"",O30/N30)</f>
        <v/>
      </c>
      <c r="S30" s="10">
        <f>IF(OR(F30="",F30&lt;=0,P30=""),"",P30/F30)</f>
        <v/>
      </c>
    </row>
    <row r="31">
      <c r="A31" s="5" t="n">
        <v>30</v>
      </c>
      <c r="F31" s="7">
        <f>IF(D31="","",D31-E31)</f>
        <v/>
      </c>
      <c r="G31" s="7">
        <f>IF(F31="","",SUM($F$2:F31))</f>
        <v/>
      </c>
      <c r="I31" s="7">
        <f>IF(H31="","",SUM($H$2:H31))</f>
        <v/>
      </c>
      <c r="Q31" s="8">
        <f>IF(OR(C31="",C31=0),"",1000*F31/C31)</f>
        <v/>
      </c>
      <c r="R31" s="9">
        <f>IF(OR(N31="",N31=0),"",O31/N31)</f>
        <v/>
      </c>
      <c r="S31" s="10">
        <f>IF(OR(F31="",F31&lt;=0,P31=""),"",P31/F31)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4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30" customWidth="1" min="12" max="12"/>
  </cols>
  <sheetData>
    <row r="1" ht="42" customHeight="1">
      <c r="A1" s="4" t="inlineStr">
        <is>
          <t>Date posted</t>
        </is>
      </c>
      <c r="B1" s="4" t="inlineStr">
        <is>
          <t>Platform</t>
        </is>
      </c>
      <c r="C1" s="4" t="inlineStr">
        <is>
          <t>Concept (A/B/C)</t>
        </is>
      </c>
      <c r="D1" s="4" t="inlineStr">
        <is>
          <t>Video ID (V1–V5, 08 list)</t>
        </is>
      </c>
      <c r="E1" s="4" t="inlineStr">
        <is>
          <t>Hook (first 1.5 s)</t>
        </is>
      </c>
      <c r="F1" s="4" t="inlineStr">
        <is>
          <t>Views (72 h)</t>
        </is>
      </c>
      <c r="G1" s="4" t="inlineStr">
        <is>
          <t>Avg watch %</t>
        </is>
      </c>
      <c r="H1" s="4" t="inlineStr">
        <is>
          <t>Link / profile clicks</t>
        </is>
      </c>
      <c r="I1" s="4" t="inlineStr">
        <is>
          <t>Steam visits (UTM)</t>
        </is>
      </c>
      <c r="J1" s="4" t="inlineStr">
        <is>
          <t>Wishlists (UTM)</t>
        </is>
      </c>
      <c r="K1" s="4" t="inlineStr">
        <is>
          <t>Wishlists per 1k visits</t>
        </is>
      </c>
      <c r="L1" s="4" t="inlineStr">
        <is>
          <t>Notes</t>
        </is>
      </c>
    </row>
    <row r="2">
      <c r="A2" s="6" t="inlineStr">
        <is>
          <t>2026-11-03</t>
        </is>
      </c>
      <c r="B2" s="6" t="inlineStr">
        <is>
          <t>TikTok</t>
        </is>
      </c>
      <c r="C2" s="6" t="inlineStr">
        <is>
          <t>A</t>
        </is>
      </c>
      <c r="D2" s="6" t="inlineStr">
        <is>
          <t>V1</t>
        </is>
      </c>
      <c r="E2" s="6" t="inlineStr">
        <is>
          <t>We had ONE rule: don't talk.</t>
        </is>
      </c>
      <c r="F2" s="6" t="n">
        <v>4200</v>
      </c>
      <c r="G2" s="6" t="n">
        <v>0.41</v>
      </c>
      <c r="H2" s="6" t="n">
        <v>60</v>
      </c>
      <c r="I2" s="6" t="n">
        <v>48</v>
      </c>
      <c r="J2" s="6" t="n">
        <v>3</v>
      </c>
      <c r="K2" s="8">
        <f>IF(OR(I2="",I2=0),"",1000*J2/I2)</f>
        <v/>
      </c>
      <c r="L2" s="6" t="inlineStr">
        <is>
          <t>EXAMPLE ROW</t>
        </is>
      </c>
    </row>
    <row r="3">
      <c r="K3" s="8">
        <f>IF(OR(I3="",I3=0),"",1000*J3/I3)</f>
        <v/>
      </c>
    </row>
    <row r="4">
      <c r="K4" s="8">
        <f>IF(OR(I4="",I4=0),"",1000*J4/I4)</f>
        <v/>
      </c>
    </row>
    <row r="5">
      <c r="K5" s="8">
        <f>IF(OR(I5="",I5=0),"",1000*J5/I5)</f>
        <v/>
      </c>
    </row>
    <row r="6">
      <c r="K6" s="8">
        <f>IF(OR(I6="",I6=0),"",1000*J6/I6)</f>
        <v/>
      </c>
    </row>
    <row r="7">
      <c r="K7" s="8">
        <f>IF(OR(I7="",I7=0),"",1000*J7/I7)</f>
        <v/>
      </c>
    </row>
    <row r="8">
      <c r="K8" s="8">
        <f>IF(OR(I8="",I8=0),"",1000*J8/I8)</f>
        <v/>
      </c>
    </row>
    <row r="9">
      <c r="K9" s="8">
        <f>IF(OR(I9="",I9=0),"",1000*J9/I9)</f>
        <v/>
      </c>
    </row>
    <row r="10">
      <c r="K10" s="8">
        <f>IF(OR(I10="",I10=0),"",1000*J10/I10)</f>
        <v/>
      </c>
    </row>
    <row r="11">
      <c r="K11" s="8">
        <f>IF(OR(I11="",I11=0),"",1000*J11/I11)</f>
        <v/>
      </c>
    </row>
    <row r="12">
      <c r="K12" s="8">
        <f>IF(OR(I12="",I12=0),"",1000*J12/I12)</f>
        <v/>
      </c>
    </row>
    <row r="13">
      <c r="K13" s="8">
        <f>IF(OR(I13="",I13=0),"",1000*J13/I13)</f>
        <v/>
      </c>
    </row>
    <row r="14">
      <c r="K14" s="8">
        <f>IF(OR(I14="",I14=0),"",1000*J14/I14)</f>
        <v/>
      </c>
    </row>
    <row r="15">
      <c r="K15" s="8">
        <f>IF(OR(I15="",I15=0),"",1000*J15/I15)</f>
        <v/>
      </c>
    </row>
    <row r="16">
      <c r="K16" s="8">
        <f>IF(OR(I16="",I16=0),"",1000*J16/I16)</f>
        <v/>
      </c>
    </row>
    <row r="17">
      <c r="K17" s="8">
        <f>IF(OR(I17="",I17=0),"",1000*J17/I17)</f>
        <v/>
      </c>
    </row>
    <row r="18">
      <c r="K18" s="8">
        <f>IF(OR(I18="",I18=0),"",1000*J18/I18)</f>
        <v/>
      </c>
    </row>
    <row r="19">
      <c r="K19" s="8">
        <f>IF(OR(I19="",I19=0),"",1000*J19/I19)</f>
        <v/>
      </c>
    </row>
    <row r="20">
      <c r="K20" s="8">
        <f>IF(OR(I20="",I20=0),"",1000*J20/I20)</f>
        <v/>
      </c>
    </row>
    <row r="21">
      <c r="K21" s="8">
        <f>IF(OR(I21="",I21=0),"",1000*J21/I21)</f>
        <v/>
      </c>
    </row>
    <row r="22">
      <c r="K22" s="8">
        <f>IF(OR(I22="",I22=0),"",1000*J22/I22)</f>
        <v/>
      </c>
    </row>
    <row r="23">
      <c r="K23" s="8">
        <f>IF(OR(I23="",I23=0),"",1000*J23/I23)</f>
        <v/>
      </c>
    </row>
    <row r="24">
      <c r="K24" s="8">
        <f>IF(OR(I24="",I24=0),"",1000*J24/I24)</f>
        <v/>
      </c>
    </row>
    <row r="25">
      <c r="K25" s="8">
        <f>IF(OR(I25="",I25=0),"",1000*J25/I25)</f>
        <v/>
      </c>
    </row>
    <row r="26">
      <c r="K26" s="8">
        <f>IF(OR(I26="",I26=0),"",1000*J26/I26)</f>
        <v/>
      </c>
    </row>
    <row r="27">
      <c r="K27" s="8">
        <f>IF(OR(I27="",I27=0),"",1000*J27/I27)</f>
        <v/>
      </c>
    </row>
    <row r="28">
      <c r="K28" s="8">
        <f>IF(OR(I28="",I28=0),"",1000*J28/I28)</f>
        <v/>
      </c>
    </row>
    <row r="29">
      <c r="K29" s="8">
        <f>IF(OR(I29="",I29=0),"",1000*J29/I29)</f>
        <v/>
      </c>
    </row>
    <row r="30">
      <c r="K30" s="8">
        <f>IF(OR(I30="",I30=0),"",1000*J30/I30)</f>
        <v/>
      </c>
    </row>
    <row r="31">
      <c r="K31" s="8">
        <f>IF(OR(I31="",I31=0),"",1000*J31/I31)</f>
        <v/>
      </c>
    </row>
    <row r="32">
      <c r="K32" s="8">
        <f>IF(OR(I32="",I32=0),"",1000*J32/I32)</f>
        <v/>
      </c>
    </row>
    <row r="33">
      <c r="K33" s="8">
        <f>IF(OR(I33="",I33=0),"",1000*J33/I33)</f>
        <v/>
      </c>
    </row>
    <row r="34">
      <c r="K34" s="8">
        <f>IF(OR(I34="",I34=0),"",1000*J34/I34)</f>
        <v/>
      </c>
    </row>
    <row r="35">
      <c r="K35" s="8">
        <f>IF(OR(I35="",I35=0),"",1000*J35/I35)</f>
        <v/>
      </c>
    </row>
    <row r="36">
      <c r="K36" s="8">
        <f>IF(OR(I36="",I36=0),"",1000*J36/I36)</f>
        <v/>
      </c>
    </row>
    <row r="37">
      <c r="K37" s="8">
        <f>IF(OR(I37="",I37=0),"",1000*J37/I37)</f>
        <v/>
      </c>
    </row>
    <row r="38">
      <c r="K38" s="8">
        <f>IF(OR(I38="",I38=0),"",1000*J38/I38)</f>
        <v/>
      </c>
    </row>
    <row r="39">
      <c r="K39" s="8">
        <f>IF(OR(I39="",I39=0),"",1000*J39/I39)</f>
        <v/>
      </c>
    </row>
    <row r="40">
      <c r="K40" s="8">
        <f>IF(OR(I40="",I40=0),"",1000*J40/I40)</f>
        <v/>
      </c>
    </row>
    <row r="41">
      <c r="K41" s="8">
        <f>IF(OR(I41="",I41=0),"",1000*J41/I41)</f>
        <v/>
      </c>
    </row>
    <row r="42">
      <c r="K42" s="8">
        <f>IF(OR(I42="",I42=0),"",1000*J42/I42)</f>
        <v/>
      </c>
    </row>
    <row r="43">
      <c r="K43" s="8">
        <f>IF(OR(I43="",I43=0),"",1000*J43/I43)</f>
        <v/>
      </c>
    </row>
    <row r="44">
      <c r="K44" s="8">
        <f>IF(OR(I44="",I44=0),"",1000*J44/I44)</f>
        <v/>
      </c>
    </row>
    <row r="45">
      <c r="K45" s="8">
        <f>IF(OR(I45="",I45=0),"",1000*J45/I45)</f>
        <v/>
      </c>
    </row>
    <row r="46">
      <c r="K46" s="8">
        <f>IF(OR(I46="",I46=0),"",1000*J46/I46)</f>
        <v/>
      </c>
    </row>
    <row r="47">
      <c r="K47" s="8">
        <f>IF(OR(I47="",I47=0),"",1000*J47/I47)</f>
        <v/>
      </c>
    </row>
    <row r="48">
      <c r="K48" s="8">
        <f>IF(OR(I48="",I48=0),"",1000*J48/I48)</f>
        <v/>
      </c>
    </row>
    <row r="49">
      <c r="K49" s="8">
        <f>IF(OR(I49="",I49=0),"",1000*J49/I49)</f>
        <v/>
      </c>
    </row>
    <row r="50">
      <c r="K50" s="8">
        <f>IF(OR(I50="",I50=0),"",1000*J50/I50)</f>
        <v/>
      </c>
    </row>
    <row r="51">
      <c r="K51" s="8">
        <f>IF(OR(I51="",I51=0),"",1000*J51/I51)</f>
        <v/>
      </c>
    </row>
    <row r="52">
      <c r="K52" s="8">
        <f>IF(OR(I52="",I52=0),"",1000*J52/I52)</f>
        <v/>
      </c>
    </row>
    <row r="53">
      <c r="K53" s="8">
        <f>IF(OR(I53="",I53=0),"",1000*J53/I53)</f>
        <v/>
      </c>
    </row>
    <row r="54">
      <c r="K54" s="8">
        <f>IF(OR(I54="",I54=0),"",1000*J54/I54)</f>
        <v/>
      </c>
    </row>
    <row r="55">
      <c r="K55" s="8">
        <f>IF(OR(I55="",I55=0),"",1000*J55/I55)</f>
        <v/>
      </c>
    </row>
    <row r="56">
      <c r="K56" s="8">
        <f>IF(OR(I56="",I56=0),"",1000*J56/I56)</f>
        <v/>
      </c>
    </row>
    <row r="57">
      <c r="K57" s="8">
        <f>IF(OR(I57="",I57=0),"",1000*J57/I57)</f>
        <v/>
      </c>
    </row>
    <row r="58">
      <c r="K58" s="8">
        <f>IF(OR(I58="",I58=0),"",1000*J58/I58)</f>
        <v/>
      </c>
    </row>
    <row r="59">
      <c r="K59" s="8">
        <f>IF(OR(I59="",I59=0),"",1000*J59/I59)</f>
        <v/>
      </c>
    </row>
    <row r="60">
      <c r="K60" s="8">
        <f>IF(OR(I60="",I60=0),"",1000*J60/I60)</f>
        <v/>
      </c>
    </row>
    <row r="61">
      <c r="K61" s="8">
        <f>IF(OR(I61="",I61=0),"",1000*J61/I61)</f>
        <v/>
      </c>
    </row>
    <row r="62">
      <c r="K62" s="8">
        <f>IF(OR(I62="",I62=0),"",1000*J62/I62)</f>
        <v/>
      </c>
    </row>
    <row r="63">
      <c r="K63" s="8">
        <f>IF(OR(I63="",I63=0),"",1000*J63/I63)</f>
        <v/>
      </c>
    </row>
    <row r="64">
      <c r="K64" s="8">
        <f>IF(OR(I64="",I64=0),"",1000*J64/I64)</f>
        <v/>
      </c>
    </row>
    <row r="65">
      <c r="K65" s="8">
        <f>IF(OR(I65="",I65=0),"",1000*J65/I65)</f>
        <v/>
      </c>
    </row>
    <row r="66">
      <c r="K66" s="8">
        <f>IF(OR(I66="",I66=0),"",1000*J66/I66)</f>
        <v/>
      </c>
    </row>
    <row r="67">
      <c r="K67" s="8">
        <f>IF(OR(I67="",I67=0),"",1000*J67/I67)</f>
        <v/>
      </c>
    </row>
    <row r="68">
      <c r="K68" s="8">
        <f>IF(OR(I68="",I68=0),"",1000*J68/I68)</f>
        <v/>
      </c>
    </row>
    <row r="69">
      <c r="K69" s="8">
        <f>IF(OR(I69="",I69=0),"",1000*J69/I69)</f>
        <v/>
      </c>
    </row>
    <row r="70">
      <c r="K70" s="8">
        <f>IF(OR(I70="",I70=0),"",1000*J70/I70)</f>
        <v/>
      </c>
    </row>
    <row r="71">
      <c r="K71" s="8">
        <f>IF(OR(I71="",I71=0),"",1000*J71/I71)</f>
        <v/>
      </c>
    </row>
    <row r="72">
      <c r="K72" s="8">
        <f>IF(OR(I72="",I72=0),"",1000*J72/I72)</f>
        <v/>
      </c>
    </row>
    <row r="73">
      <c r="K73" s="8">
        <f>IF(OR(I73="",I73=0),"",1000*J73/I73)</f>
        <v/>
      </c>
    </row>
    <row r="74">
      <c r="K74" s="8">
        <f>IF(OR(I74="",I74=0),"",1000*J74/I74)</f>
        <v/>
      </c>
    </row>
    <row r="75">
      <c r="K75" s="8">
        <f>IF(OR(I75="",I75=0),"",1000*J75/I75)</f>
        <v/>
      </c>
    </row>
    <row r="76">
      <c r="K76" s="8">
        <f>IF(OR(I76="",I76=0),"",1000*J76/I76)</f>
        <v/>
      </c>
    </row>
    <row r="77">
      <c r="K77" s="8">
        <f>IF(OR(I77="",I77=0),"",1000*J77/I77)</f>
        <v/>
      </c>
    </row>
    <row r="78">
      <c r="K78" s="8">
        <f>IF(OR(I78="",I78=0),"",1000*J78/I78)</f>
        <v/>
      </c>
    </row>
    <row r="79">
      <c r="K79" s="8">
        <f>IF(OR(I79="",I79=0),"",1000*J79/I79)</f>
        <v/>
      </c>
    </row>
    <row r="80">
      <c r="K80" s="8">
        <f>IF(OR(I80="",I80=0),"",1000*J80/I80)</f>
        <v/>
      </c>
    </row>
    <row r="81">
      <c r="K81" s="8">
        <f>IF(OR(I81="",I81=0),"",1000*J81/I81)</f>
        <v/>
      </c>
    </row>
    <row r="82">
      <c r="K82" s="8">
        <f>IF(OR(I82="",I82=0),"",1000*J82/I82)</f>
        <v/>
      </c>
    </row>
    <row r="83">
      <c r="K83" s="8">
        <f>IF(OR(I83="",I83=0),"",1000*J83/I83)</f>
        <v/>
      </c>
    </row>
    <row r="84">
      <c r="K84" s="8">
        <f>IF(OR(I84="",I84=0),"",1000*J84/I84)</f>
        <v/>
      </c>
    </row>
    <row r="85">
      <c r="K85" s="8">
        <f>IF(OR(I85="",I85=0),"",1000*J85/I85)</f>
        <v/>
      </c>
    </row>
    <row r="86">
      <c r="K86" s="8">
        <f>IF(OR(I86="",I86=0),"",1000*J86/I86)</f>
        <v/>
      </c>
    </row>
    <row r="87">
      <c r="K87" s="8">
        <f>IF(OR(I87="",I87=0),"",1000*J87/I87)</f>
        <v/>
      </c>
    </row>
    <row r="88">
      <c r="K88" s="8">
        <f>IF(OR(I88="",I88=0),"",1000*J88/I88)</f>
        <v/>
      </c>
    </row>
    <row r="89">
      <c r="K89" s="8">
        <f>IF(OR(I89="",I89=0),"",1000*J89/I89)</f>
        <v/>
      </c>
    </row>
    <row r="90">
      <c r="K90" s="8">
        <f>IF(OR(I90="",I90=0),"",1000*J90/I90)</f>
        <v/>
      </c>
    </row>
    <row r="91">
      <c r="K91" s="8">
        <f>IF(OR(I91="",I91=0),"",1000*J91/I91)</f>
        <v/>
      </c>
    </row>
    <row r="92">
      <c r="K92" s="8">
        <f>IF(OR(I92="",I92=0),"",1000*J92/I92)</f>
        <v/>
      </c>
    </row>
    <row r="93">
      <c r="K93" s="8">
        <f>IF(OR(I93="",I93=0),"",1000*J93/I93)</f>
        <v/>
      </c>
    </row>
    <row r="94">
      <c r="K94" s="8">
        <f>IF(OR(I94="",I94=0),"",1000*J94/I94)</f>
        <v/>
      </c>
    </row>
    <row r="95">
      <c r="K95" s="8">
        <f>IF(OR(I95="",I95=0),"",1000*J95/I95)</f>
        <v/>
      </c>
    </row>
    <row r="96">
      <c r="K96" s="8">
        <f>IF(OR(I96="",I96=0),"",1000*J96/I96)</f>
        <v/>
      </c>
    </row>
    <row r="97">
      <c r="K97" s="8">
        <f>IF(OR(I97="",I97=0),"",1000*J97/I97)</f>
        <v/>
      </c>
    </row>
    <row r="98">
      <c r="K98" s="8">
        <f>IF(OR(I98="",I98=0),"",1000*J98/I98)</f>
        <v/>
      </c>
    </row>
    <row r="99">
      <c r="K99" s="8">
        <f>IF(OR(I99="",I99=0),"",1000*J99/I99)</f>
        <v/>
      </c>
    </row>
    <row r="100">
      <c r="K100" s="8">
        <f>IF(OR(I100="",I100=0),"",1000*J100/I100)</f>
        <v/>
      </c>
    </row>
    <row r="101">
      <c r="K101" s="8">
        <f>IF(OR(I101="",I101=0),"",1000*J101/I101)</f>
        <v/>
      </c>
    </row>
    <row r="102">
      <c r="K102" s="8">
        <f>IF(OR(I102="",I102=0),"",1000*J102/I102)</f>
        <v/>
      </c>
    </row>
    <row r="103">
      <c r="K103" s="8">
        <f>IF(OR(I103="",I103=0),"",1000*J103/I103)</f>
        <v/>
      </c>
    </row>
    <row r="104">
      <c r="K104" s="8">
        <f>IF(OR(I104="",I104=0),"",1000*J104/I104)</f>
        <v/>
      </c>
    </row>
    <row r="105">
      <c r="K105" s="8">
        <f>IF(OR(I105="",I105=0),"",1000*J105/I105)</f>
        <v/>
      </c>
    </row>
    <row r="106">
      <c r="K106" s="8">
        <f>IF(OR(I106="",I106=0),"",1000*J106/I106)</f>
        <v/>
      </c>
    </row>
    <row r="107">
      <c r="K107" s="8">
        <f>IF(OR(I107="",I107=0),"",1000*J107/I107)</f>
        <v/>
      </c>
    </row>
    <row r="108">
      <c r="K108" s="8">
        <f>IF(OR(I108="",I108=0),"",1000*J108/I108)</f>
        <v/>
      </c>
    </row>
    <row r="109">
      <c r="K109" s="8">
        <f>IF(OR(I109="",I109=0),"",1000*J109/I109)</f>
        <v/>
      </c>
    </row>
    <row r="110">
      <c r="K110" s="8">
        <f>IF(OR(I110="",I110=0),"",1000*J110/I110)</f>
        <v/>
      </c>
    </row>
    <row r="111">
      <c r="K111" s="8">
        <f>IF(OR(I111="",I111=0),"",1000*J111/I111)</f>
        <v/>
      </c>
    </row>
    <row r="112">
      <c r="K112" s="8">
        <f>IF(OR(I112="",I112=0),"",1000*J112/I112)</f>
        <v/>
      </c>
    </row>
    <row r="113">
      <c r="K113" s="8">
        <f>IF(OR(I113="",I113=0),"",1000*J113/I113)</f>
        <v/>
      </c>
    </row>
    <row r="114">
      <c r="K114" s="8">
        <f>IF(OR(I114="",I114=0),"",1000*J114/I114)</f>
        <v/>
      </c>
    </row>
    <row r="115">
      <c r="K115" s="8">
        <f>IF(OR(I115="",I115=0),"",1000*J115/I115)</f>
        <v/>
      </c>
    </row>
    <row r="116">
      <c r="K116" s="8">
        <f>IF(OR(I116="",I116=0),"",1000*J116/I116)</f>
        <v/>
      </c>
    </row>
    <row r="117">
      <c r="K117" s="8">
        <f>IF(OR(I117="",I117=0),"",1000*J117/I117)</f>
        <v/>
      </c>
    </row>
    <row r="118">
      <c r="K118" s="8">
        <f>IF(OR(I118="",I118=0),"",1000*J118/I118)</f>
        <v/>
      </c>
    </row>
    <row r="119">
      <c r="K119" s="8">
        <f>IF(OR(I119="",I119=0),"",1000*J119/I119)</f>
        <v/>
      </c>
    </row>
    <row r="120">
      <c r="K120" s="8">
        <f>IF(OR(I120="",I120=0),"",1000*J120/I120)</f>
        <v/>
      </c>
    </row>
    <row r="121">
      <c r="K121" s="8">
        <f>IF(OR(I121="",I121=0),"",1000*J121/I121)</f>
        <v/>
      </c>
    </row>
    <row r="122">
      <c r="K122" s="8">
        <f>IF(OR(I122="",I122=0),"",1000*J122/I122)</f>
        <v/>
      </c>
    </row>
    <row r="123">
      <c r="K123" s="8">
        <f>IF(OR(I123="",I123=0),"",1000*J123/I123)</f>
        <v/>
      </c>
    </row>
    <row r="124">
      <c r="K124" s="8">
        <f>IF(OR(I124="",I124=0),"",1000*J124/I124)</f>
        <v/>
      </c>
    </row>
    <row r="125">
      <c r="K125" s="8">
        <f>IF(OR(I125="",I125=0),"",1000*J125/I125)</f>
        <v/>
      </c>
    </row>
    <row r="126">
      <c r="K126" s="8">
        <f>IF(OR(I126="",I126=0),"",1000*J126/I126)</f>
        <v/>
      </c>
    </row>
    <row r="127">
      <c r="K127" s="8">
        <f>IF(OR(I127="",I127=0),"",1000*J127/I127)</f>
        <v/>
      </c>
    </row>
    <row r="128">
      <c r="K128" s="8">
        <f>IF(OR(I128="",I128=0),"",1000*J128/I128)</f>
        <v/>
      </c>
    </row>
    <row r="129">
      <c r="K129" s="8">
        <f>IF(OR(I129="",I129=0),"",1000*J129/I129)</f>
        <v/>
      </c>
    </row>
    <row r="130">
      <c r="K130" s="8">
        <f>IF(OR(I130="",I130=0),"",1000*J130/I130)</f>
        <v/>
      </c>
    </row>
    <row r="131">
      <c r="K131" s="8">
        <f>IF(OR(I131="",I131=0),"",1000*J131/I131)</f>
        <v/>
      </c>
    </row>
    <row r="132">
      <c r="K132" s="8">
        <f>IF(OR(I132="",I132=0),"",1000*J132/I132)</f>
        <v/>
      </c>
    </row>
    <row r="133">
      <c r="K133" s="8">
        <f>IF(OR(I133="",I133=0),"",1000*J133/I133)</f>
        <v/>
      </c>
    </row>
    <row r="134">
      <c r="K134" s="8">
        <f>IF(OR(I134="",I134=0),"",1000*J134/I134)</f>
        <v/>
      </c>
    </row>
    <row r="135">
      <c r="K135" s="8">
        <f>IF(OR(I135="",I135=0),"",1000*J135/I135)</f>
        <v/>
      </c>
    </row>
    <row r="136">
      <c r="K136" s="8">
        <f>IF(OR(I136="",I136=0),"",1000*J136/I136)</f>
        <v/>
      </c>
    </row>
    <row r="137">
      <c r="K137" s="8">
        <f>IF(OR(I137="",I137=0),"",1000*J137/I137)</f>
        <v/>
      </c>
    </row>
    <row r="138">
      <c r="K138" s="8">
        <f>IF(OR(I138="",I138=0),"",1000*J138/I138)</f>
        <v/>
      </c>
    </row>
    <row r="139">
      <c r="K139" s="8">
        <f>IF(OR(I139="",I139=0),"",1000*J139/I139)</f>
        <v/>
      </c>
    </row>
    <row r="140">
      <c r="K140" s="8">
        <f>IF(OR(I140="",I140=0),"",1000*J140/I140)</f>
        <v/>
      </c>
    </row>
    <row r="141">
      <c r="K141" s="8">
        <f>IF(OR(I141="",I141=0),"",1000*J141/I141)</f>
        <v/>
      </c>
    </row>
    <row r="142">
      <c r="K142" s="8">
        <f>IF(OR(I142="",I142=0),"",1000*J142/I142)</f>
        <v/>
      </c>
    </row>
    <row r="143">
      <c r="K143" s="8">
        <f>IF(OR(I143="",I143=0),"",1000*J143/I143)</f>
        <v/>
      </c>
    </row>
    <row r="144">
      <c r="K144" s="8">
        <f>IF(OR(I144="",I144=0),"",1000*J144/I144)</f>
        <v/>
      </c>
    </row>
    <row r="145">
      <c r="K145" s="8">
        <f>IF(OR(I145="",I145=0),"",1000*J145/I145)</f>
        <v/>
      </c>
    </row>
    <row r="146">
      <c r="K146" s="8">
        <f>IF(OR(I146="",I146=0),"",1000*J146/I146)</f>
        <v/>
      </c>
    </row>
    <row r="147">
      <c r="K147" s="8">
        <f>IF(OR(I147="",I147=0),"",1000*J147/I147)</f>
        <v/>
      </c>
    </row>
    <row r="148">
      <c r="K148" s="8">
        <f>IF(OR(I148="",I148=0),"",1000*J148/I148)</f>
        <v/>
      </c>
    </row>
    <row r="149">
      <c r="K149" s="8">
        <f>IF(OR(I149="",I149=0),"",1000*J149/I149)</f>
        <v/>
      </c>
    </row>
    <row r="150">
      <c r="K150" s="8">
        <f>IF(OR(I150="",I150=0),"",1000*J150/I150)</f>
        <v/>
      </c>
    </row>
    <row r="151">
      <c r="K151" s="8">
        <f>IF(OR(I151="",I151=0),"",1000*J151/I151)</f>
        <v/>
      </c>
    </row>
    <row r="152">
      <c r="K152" s="8">
        <f>IF(OR(I152="",I152=0),"",1000*J152/I152)</f>
        <v/>
      </c>
    </row>
    <row r="153">
      <c r="K153" s="8">
        <f>IF(OR(I153="",I153=0),"",1000*J153/I153)</f>
        <v/>
      </c>
    </row>
    <row r="154">
      <c r="K154" s="8">
        <f>IF(OR(I154="",I154=0),"",1000*J154/I154)</f>
        <v/>
      </c>
    </row>
    <row r="155">
      <c r="K155" s="8">
        <f>IF(OR(I155="",I155=0),"",1000*J155/I155)</f>
        <v/>
      </c>
    </row>
    <row r="156">
      <c r="K156" s="8">
        <f>IF(OR(I156="",I156=0),"",1000*J156/I156)</f>
        <v/>
      </c>
    </row>
    <row r="157">
      <c r="K157" s="8">
        <f>IF(OR(I157="",I157=0),"",1000*J157/I157)</f>
        <v/>
      </c>
    </row>
    <row r="158">
      <c r="K158" s="8">
        <f>IF(OR(I158="",I158=0),"",1000*J158/I158)</f>
        <v/>
      </c>
    </row>
    <row r="159">
      <c r="K159" s="8">
        <f>IF(OR(I159="",I159=0),"",1000*J159/I159)</f>
        <v/>
      </c>
    </row>
    <row r="160">
      <c r="K160" s="8">
        <f>IF(OR(I160="",I160=0),"",1000*J160/I160)</f>
        <v/>
      </c>
    </row>
    <row r="161">
      <c r="K161" s="8">
        <f>IF(OR(I161="",I161=0),"",1000*J161/I161)</f>
        <v/>
      </c>
    </row>
    <row r="162">
      <c r="K162" s="8">
        <f>IF(OR(I162="",I162=0),"",1000*J162/I162)</f>
        <v/>
      </c>
    </row>
    <row r="163">
      <c r="K163" s="8">
        <f>IF(OR(I163="",I163=0),"",1000*J163/I163)</f>
        <v/>
      </c>
    </row>
    <row r="164">
      <c r="K164" s="8">
        <f>IF(OR(I164="",I164=0),"",1000*J164/I164)</f>
        <v/>
      </c>
    </row>
    <row r="165">
      <c r="K165" s="8">
        <f>IF(OR(I165="",I165=0),"",1000*J165/I165)</f>
        <v/>
      </c>
    </row>
    <row r="166">
      <c r="K166" s="8">
        <f>IF(OR(I166="",I166=0),"",1000*J166/I166)</f>
        <v/>
      </c>
    </row>
    <row r="167">
      <c r="K167" s="8">
        <f>IF(OR(I167="",I167=0),"",1000*J167/I167)</f>
        <v/>
      </c>
    </row>
    <row r="168">
      <c r="K168" s="8">
        <f>IF(OR(I168="",I168=0),"",1000*J168/I168)</f>
        <v/>
      </c>
    </row>
    <row r="169">
      <c r="K169" s="8">
        <f>IF(OR(I169="",I169=0),"",1000*J169/I169)</f>
        <v/>
      </c>
    </row>
    <row r="170">
      <c r="K170" s="8">
        <f>IF(OR(I170="",I170=0),"",1000*J170/I170)</f>
        <v/>
      </c>
    </row>
    <row r="171">
      <c r="K171" s="8">
        <f>IF(OR(I171="",I171=0),"",1000*J171/I171)</f>
        <v/>
      </c>
    </row>
    <row r="172">
      <c r="K172" s="8">
        <f>IF(OR(I172="",I172=0),"",1000*J172/I172)</f>
        <v/>
      </c>
    </row>
    <row r="173">
      <c r="K173" s="8">
        <f>IF(OR(I173="",I173=0),"",1000*J173/I173)</f>
        <v/>
      </c>
    </row>
    <row r="174">
      <c r="K174" s="8">
        <f>IF(OR(I174="",I174=0),"",1000*J174/I174)</f>
        <v/>
      </c>
    </row>
    <row r="175">
      <c r="K175" s="8">
        <f>IF(OR(I175="",I175=0),"",1000*J175/I175)</f>
        <v/>
      </c>
    </row>
    <row r="176">
      <c r="K176" s="8">
        <f>IF(OR(I176="",I176=0),"",1000*J176/I176)</f>
        <v/>
      </c>
    </row>
    <row r="177">
      <c r="K177" s="8">
        <f>IF(OR(I177="",I177=0),"",1000*J177/I177)</f>
        <v/>
      </c>
    </row>
    <row r="178">
      <c r="K178" s="8">
        <f>IF(OR(I178="",I178=0),"",1000*J178/I178)</f>
        <v/>
      </c>
    </row>
    <row r="179">
      <c r="K179" s="8">
        <f>IF(OR(I179="",I179=0),"",1000*J179/I179)</f>
        <v/>
      </c>
    </row>
    <row r="180">
      <c r="K180" s="8">
        <f>IF(OR(I180="",I180=0),"",1000*J180/I180)</f>
        <v/>
      </c>
    </row>
    <row r="181">
      <c r="K181" s="8">
        <f>IF(OR(I181="",I181=0),"",1000*J181/I181)</f>
        <v/>
      </c>
    </row>
    <row r="182">
      <c r="K182" s="8">
        <f>IF(OR(I182="",I182=0),"",1000*J182/I182)</f>
        <v/>
      </c>
    </row>
    <row r="183">
      <c r="K183" s="8">
        <f>IF(OR(I183="",I183=0),"",1000*J183/I183)</f>
        <v/>
      </c>
    </row>
    <row r="184">
      <c r="K184" s="8">
        <f>IF(OR(I184="",I184=0),"",1000*J184/I184)</f>
        <v/>
      </c>
    </row>
    <row r="185">
      <c r="K185" s="8">
        <f>IF(OR(I185="",I185=0),"",1000*J185/I185)</f>
        <v/>
      </c>
    </row>
    <row r="186">
      <c r="K186" s="8">
        <f>IF(OR(I186="",I186=0),"",1000*J186/I186)</f>
        <v/>
      </c>
    </row>
    <row r="187">
      <c r="K187" s="8">
        <f>IF(OR(I187="",I187=0),"",1000*J187/I187)</f>
        <v/>
      </c>
    </row>
    <row r="188">
      <c r="K188" s="8">
        <f>IF(OR(I188="",I188=0),"",1000*J188/I188)</f>
        <v/>
      </c>
    </row>
    <row r="189">
      <c r="K189" s="8">
        <f>IF(OR(I189="",I189=0),"",1000*J189/I189)</f>
        <v/>
      </c>
    </row>
    <row r="190">
      <c r="K190" s="8">
        <f>IF(OR(I190="",I190=0),"",1000*J190/I190)</f>
        <v/>
      </c>
    </row>
    <row r="191">
      <c r="K191" s="8">
        <f>IF(OR(I191="",I191=0),"",1000*J191/I191)</f>
        <v/>
      </c>
    </row>
    <row r="192">
      <c r="K192" s="8">
        <f>IF(OR(I192="",I192=0),"",1000*J192/I192)</f>
        <v/>
      </c>
    </row>
    <row r="193">
      <c r="K193" s="8">
        <f>IF(OR(I193="",I193=0),"",1000*J193/I193)</f>
        <v/>
      </c>
    </row>
    <row r="194">
      <c r="K194" s="8">
        <f>IF(OR(I194="",I194=0),"",1000*J194/I194)</f>
        <v/>
      </c>
    </row>
    <row r="195">
      <c r="K195" s="8">
        <f>IF(OR(I195="",I195=0),"",1000*J195/I195)</f>
        <v/>
      </c>
    </row>
    <row r="196">
      <c r="K196" s="8">
        <f>IF(OR(I196="",I196=0),"",1000*J196/I196)</f>
        <v/>
      </c>
    </row>
    <row r="197">
      <c r="K197" s="8">
        <f>IF(OR(I197="",I197=0),"",1000*J197/I197)</f>
        <v/>
      </c>
    </row>
    <row r="198">
      <c r="K198" s="8">
        <f>IF(OR(I198="",I198=0),"",1000*J198/I198)</f>
        <v/>
      </c>
    </row>
    <row r="199">
      <c r="K199" s="8">
        <f>IF(OR(I199="",I199=0),"",1000*J199/I199)</f>
        <v/>
      </c>
    </row>
    <row r="200">
      <c r="K200" s="8">
        <f>IF(OR(I200="",I200=0),"",1000*J200/I200)</f>
        <v/>
      </c>
    </row>
    <row r="201">
      <c r="K201" s="8">
        <f>IF(OR(I201="",I201=0),"",1000*J201/I201)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18" customWidth="1" min="5" max="5"/>
    <col width="22" customWidth="1" min="6" max="6"/>
    <col width="10" customWidth="1" min="7" max="7"/>
  </cols>
  <sheetData>
    <row r="1" ht="42" customHeight="1">
      <c r="A1" s="4" t="inlineStr">
        <is>
          <t>Concept</t>
        </is>
      </c>
      <c r="B1" s="4" t="inlineStr">
        <is>
          <t>Name</t>
        </is>
      </c>
      <c r="C1" s="4" t="inlineStr">
        <is>
          <t>Steam visits (UTM)</t>
        </is>
      </c>
      <c r="D1" s="4" t="inlineStr">
        <is>
          <t>Wishlists (UTM)</t>
        </is>
      </c>
      <c r="E1" s="4" t="inlineStr">
        <is>
          <t>Wishlists per 1k visits</t>
        </is>
      </c>
      <c r="F1" s="4" t="inlineStr">
        <is>
          <t>Enough data? (≥ min visits)</t>
        </is>
      </c>
      <c r="G1" s="4" t="inlineStr">
        <is>
          <t>Leader?</t>
        </is>
      </c>
    </row>
    <row r="2">
      <c r="A2" s="11" t="inlineStr">
        <is>
          <t>A</t>
        </is>
      </c>
      <c r="B2" s="5" t="inlineStr">
        <is>
          <t>It can hear you</t>
        </is>
      </c>
      <c r="C2" s="7">
        <f>SUMIFS(Clips!$I:$I,Clips!$C:$C,A2)</f>
        <v/>
      </c>
      <c r="D2" s="7">
        <f>SUMIFS(Clips!$J:$J,Clips!$C:$C,A2)</f>
        <v/>
      </c>
      <c r="E2" s="8">
        <f>IF(C2=0,"",1000*D2/C2)</f>
        <v/>
      </c>
      <c r="F2" s="5">
        <f>IF(C2&gt;=$C$6,"Yes","Not yet")</f>
        <v/>
      </c>
      <c r="G2" s="5">
        <f>IF(AND(F2="Yes",E2&lt;&gt;"",E2=MAX($E$2:$E$4)),"◀ leader","")</f>
        <v/>
      </c>
    </row>
    <row r="3">
      <c r="A3" s="11" t="inlineStr">
        <is>
          <t>B</t>
        </is>
      </c>
      <c r="B3" s="5" t="inlineStr">
        <is>
          <t>Be the shark</t>
        </is>
      </c>
      <c r="C3" s="7">
        <f>SUMIFS(Clips!$I:$I,Clips!$C:$C,A3)</f>
        <v/>
      </c>
      <c r="D3" s="7">
        <f>SUMIFS(Clips!$J:$J,Clips!$C:$C,A3)</f>
        <v/>
      </c>
      <c r="E3" s="8">
        <f>IF(C3=0,"",1000*D3/C3)</f>
        <v/>
      </c>
      <c r="F3" s="5">
        <f>IF(C3&gt;=$C$6,"Yes","Not yet")</f>
        <v/>
      </c>
      <c r="G3" s="5">
        <f>IF(AND(F3="Yes",E3&lt;&gt;"",E3=MAX($E$2:$E$4)),"◀ leader","")</f>
        <v/>
      </c>
    </row>
    <row r="4">
      <c r="A4" s="11" t="inlineStr">
        <is>
          <t>C</t>
        </is>
      </c>
      <c r="B4" s="5" t="inlineStr">
        <is>
          <t>Hide in plain sight</t>
        </is>
      </c>
      <c r="C4" s="7">
        <f>SUMIFS(Clips!$I:$I,Clips!$C:$C,A4)</f>
        <v/>
      </c>
      <c r="D4" s="7">
        <f>SUMIFS(Clips!$J:$J,Clips!$C:$C,A4)</f>
        <v/>
      </c>
      <c r="E4" s="8">
        <f>IF(C4=0,"",1000*D4/C4)</f>
        <v/>
      </c>
      <c r="F4" s="5">
        <f>IF(C4&gt;=$C$6,"Yes","Not yet")</f>
        <v/>
      </c>
      <c r="G4" s="5">
        <f>IF(AND(F4="Yes",E4&lt;&gt;"",E4=MAX($E$2:$E$4)),"◀ leader","")</f>
        <v/>
      </c>
    </row>
    <row r="6">
      <c r="A6" s="11" t="inlineStr">
        <is>
          <t>Minimum visits per concept</t>
        </is>
      </c>
      <c r="C6" s="12" t="n">
        <v>300</v>
      </c>
    </row>
    <row r="8">
      <c r="A8" s="6" t="inlineStr">
        <is>
          <t>The example row in Clips counts toward concept A until you overwrite it.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8" customWidth="1" min="5" max="5"/>
    <col width="14" customWidth="1" min="6" max="6"/>
    <col width="9" customWidth="1" min="7" max="7"/>
    <col width="14" customWidth="1" min="8" max="8"/>
    <col width="8" customWidth="1" min="9" max="9"/>
    <col width="36" customWidth="1" min="10" max="10"/>
    <col width="36" customWidth="1" min="11" max="11"/>
    <col width="10" customWidth="1" min="12" max="12"/>
    <col width="70" customWidth="1" min="14" max="14"/>
  </cols>
  <sheetData>
    <row r="1" ht="42" customHeight="1">
      <c r="A1" s="4" t="inlineStr">
        <is>
          <t>Respondent ID</t>
        </is>
      </c>
      <c r="B1" s="4" t="inlineStr">
        <is>
          <t>Date</t>
        </is>
      </c>
      <c r="C1" s="4" t="inlineStr">
        <is>
          <t>Rounds played</t>
        </is>
      </c>
      <c r="D1" s="4" t="inlineStr">
        <is>
          <t>Played shark? (Y/N)</t>
        </is>
      </c>
      <c r="E1" s="4" t="inlineStr">
        <is>
          <t>Fun 1–5</t>
        </is>
      </c>
      <c r="F1" s="4" t="inlineStr">
        <is>
          <t>Would buy at €12.99? (Yes/Maybe/No)</t>
        </is>
      </c>
      <c r="G1" s="4" t="inlineStr">
        <is>
          <t>Usual group size</t>
        </is>
      </c>
      <c r="H1" s="4" t="inlineStr">
        <is>
          <t>Would back on Kickstarter? (Yes/Maybe/No)</t>
        </is>
      </c>
      <c r="I1" s="4" t="inlineStr">
        <is>
          <t>Used a mic? (Y/N)</t>
        </is>
      </c>
      <c r="J1" s="4" t="inlineStr">
        <is>
          <t>Top complaint</t>
        </is>
      </c>
      <c r="K1" s="4" t="inlineStr">
        <is>
          <t>Best moment (quote)</t>
        </is>
      </c>
      <c r="L1" s="4" t="inlineStr">
        <is>
          <t>Counts (3+ rounds)?</t>
        </is>
      </c>
      <c r="N1" s="11" t="inlineStr">
        <is>
          <t>Question bank (ask in this order, after round 3)</t>
        </is>
      </c>
    </row>
    <row r="2">
      <c r="A2" s="6" t="inlineStr">
        <is>
          <t>P001</t>
        </is>
      </c>
      <c r="B2" s="6" t="inlineStr">
        <is>
          <t>2026-11-28</t>
        </is>
      </c>
      <c r="C2" s="6" t="n">
        <v>4</v>
      </c>
      <c r="D2" s="6" t="inlineStr">
        <is>
          <t>Y</t>
        </is>
      </c>
      <c r="E2" s="6" t="n">
        <v>4</v>
      </c>
      <c r="F2" s="6" t="inlineStr">
        <is>
          <t>Yes</t>
        </is>
      </c>
      <c r="G2" s="6" t="n">
        <v>4</v>
      </c>
      <c r="H2" s="6" t="inlineStr">
        <is>
          <t>Maybe</t>
        </is>
      </c>
      <c r="I2" s="6" t="inlineStr">
        <is>
          <t>Y</t>
        </is>
      </c>
      <c r="J2" s="6" t="inlineStr">
        <is>
          <t>Shark too fast at the escape</t>
        </is>
      </c>
      <c r="K2" s="6" t="inlineStr">
        <is>
          <t>"It heard me sneeze"</t>
        </is>
      </c>
      <c r="L2" s="13">
        <f>IF(C2="","",IF(C2&gt;=3,1,0))</f>
        <v/>
      </c>
      <c r="N2" s="5" t="inlineStr">
        <is>
          <t>1. How many rounds did you play? (number)</t>
        </is>
      </c>
    </row>
    <row r="3">
      <c r="L3" s="13">
        <f>IF(C3="","",IF(C3&gt;=3,1,0))</f>
        <v/>
      </c>
      <c r="N3" s="5" t="inlineStr">
        <is>
          <t>2. Did you play as the shark at least once?</t>
        </is>
      </c>
    </row>
    <row r="4">
      <c r="L4" s="13">
        <f>IF(C4="","",IF(C4&gt;=3,1,0))</f>
        <v/>
      </c>
      <c r="N4" s="5" t="inlineStr">
        <is>
          <t>3. How fun was it, 1–5?</t>
        </is>
      </c>
    </row>
    <row r="5">
      <c r="L5" s="13">
        <f>IF(C5="","",IF(C5&gt;=3,1,0))</f>
        <v/>
      </c>
      <c r="N5" s="5" t="inlineStr">
        <is>
          <t>4. If Reef Run cost €12.99 on Steam, would you buy it? Yes / Maybe / No</t>
        </is>
      </c>
    </row>
    <row r="6">
      <c r="L6" s="13">
        <f>IF(C6="","",IF(C6&gt;=3,1,0))</f>
        <v/>
      </c>
      <c r="N6" s="5" t="inlineStr">
        <is>
          <t>5. How many people are usually in your game group?</t>
        </is>
      </c>
    </row>
    <row r="7">
      <c r="L7" s="13">
        <f>IF(C7="","",IF(C7&gt;=3,1,0))</f>
        <v/>
      </c>
      <c r="N7" s="5" t="inlineStr">
        <is>
          <t>6. Would you back it on Kickstarter to get in early? Yes / Maybe / No</t>
        </is>
      </c>
    </row>
    <row r="8">
      <c r="L8" s="13">
        <f>IF(C8="","",IF(C8&gt;=3,1,0))</f>
        <v/>
      </c>
      <c r="N8" s="5" t="inlineStr">
        <is>
          <t>7. Did you use a microphone?</t>
        </is>
      </c>
    </row>
    <row r="9">
      <c r="L9" s="13">
        <f>IF(C9="","",IF(C9&gt;=3,1,0))</f>
        <v/>
      </c>
      <c r="N9" s="5" t="inlineStr">
        <is>
          <t>8. What was the most frustrating thing?</t>
        </is>
      </c>
    </row>
    <row r="10">
      <c r="L10" s="13">
        <f>IF(C10="","",IF(C10&gt;=3,1,0))</f>
        <v/>
      </c>
      <c r="N10" s="5" t="inlineStr">
        <is>
          <t>9. What moment will you tell a friend about?</t>
        </is>
      </c>
    </row>
    <row r="11">
      <c r="L11" s="13">
        <f>IF(C11="","",IF(C11&gt;=3,1,0))</f>
        <v/>
      </c>
    </row>
    <row r="12">
      <c r="L12" s="13">
        <f>IF(C12="","",IF(C12&gt;=3,1,0))</f>
        <v/>
      </c>
    </row>
    <row r="13">
      <c r="L13" s="13">
        <f>IF(C13="","",IF(C13&gt;=3,1,0))</f>
        <v/>
      </c>
    </row>
    <row r="14">
      <c r="L14" s="13">
        <f>IF(C14="","",IF(C14&gt;=3,1,0))</f>
        <v/>
      </c>
    </row>
    <row r="15">
      <c r="L15" s="13">
        <f>IF(C15="","",IF(C15&gt;=3,1,0))</f>
        <v/>
      </c>
    </row>
    <row r="16">
      <c r="L16" s="13">
        <f>IF(C16="","",IF(C16&gt;=3,1,0))</f>
        <v/>
      </c>
    </row>
    <row r="17">
      <c r="L17" s="13">
        <f>IF(C17="","",IF(C17&gt;=3,1,0))</f>
        <v/>
      </c>
    </row>
    <row r="18">
      <c r="L18" s="13">
        <f>IF(C18="","",IF(C18&gt;=3,1,0))</f>
        <v/>
      </c>
    </row>
    <row r="19">
      <c r="L19" s="13">
        <f>IF(C19="","",IF(C19&gt;=3,1,0))</f>
        <v/>
      </c>
    </row>
    <row r="20">
      <c r="L20" s="13">
        <f>IF(C20="","",IF(C20&gt;=3,1,0))</f>
        <v/>
      </c>
    </row>
    <row r="21">
      <c r="L21" s="13">
        <f>IF(C21="","",IF(C21&gt;=3,1,0))</f>
        <v/>
      </c>
    </row>
    <row r="22">
      <c r="L22" s="13">
        <f>IF(C22="","",IF(C22&gt;=3,1,0))</f>
        <v/>
      </c>
    </row>
    <row r="23">
      <c r="L23" s="13">
        <f>IF(C23="","",IF(C23&gt;=3,1,0))</f>
        <v/>
      </c>
    </row>
    <row r="24">
      <c r="L24" s="13">
        <f>IF(C24="","",IF(C24&gt;=3,1,0))</f>
        <v/>
      </c>
    </row>
    <row r="25">
      <c r="L25" s="13">
        <f>IF(C25="","",IF(C25&gt;=3,1,0))</f>
        <v/>
      </c>
    </row>
    <row r="26">
      <c r="L26" s="13">
        <f>IF(C26="","",IF(C26&gt;=3,1,0))</f>
        <v/>
      </c>
    </row>
    <row r="27">
      <c r="L27" s="13">
        <f>IF(C27="","",IF(C27&gt;=3,1,0))</f>
        <v/>
      </c>
    </row>
    <row r="28">
      <c r="L28" s="13">
        <f>IF(C28="","",IF(C28&gt;=3,1,0))</f>
        <v/>
      </c>
    </row>
    <row r="29">
      <c r="L29" s="13">
        <f>IF(C29="","",IF(C29&gt;=3,1,0))</f>
        <v/>
      </c>
    </row>
    <row r="30">
      <c r="L30" s="13">
        <f>IF(C30="","",IF(C30&gt;=3,1,0))</f>
        <v/>
      </c>
    </row>
    <row r="31">
      <c r="L31" s="13">
        <f>IF(C31="","",IF(C31&gt;=3,1,0))</f>
        <v/>
      </c>
    </row>
    <row r="32">
      <c r="L32" s="13">
        <f>IF(C32="","",IF(C32&gt;=3,1,0))</f>
        <v/>
      </c>
    </row>
    <row r="33">
      <c r="L33" s="13">
        <f>IF(C33="","",IF(C33&gt;=3,1,0))</f>
        <v/>
      </c>
    </row>
    <row r="34">
      <c r="L34" s="13">
        <f>IF(C34="","",IF(C34&gt;=3,1,0))</f>
        <v/>
      </c>
    </row>
    <row r="35">
      <c r="L35" s="13">
        <f>IF(C35="","",IF(C35&gt;=3,1,0))</f>
        <v/>
      </c>
    </row>
    <row r="36">
      <c r="L36" s="13">
        <f>IF(C36="","",IF(C36&gt;=3,1,0))</f>
        <v/>
      </c>
    </row>
    <row r="37">
      <c r="L37" s="13">
        <f>IF(C37="","",IF(C37&gt;=3,1,0))</f>
        <v/>
      </c>
    </row>
    <row r="38">
      <c r="L38" s="13">
        <f>IF(C38="","",IF(C38&gt;=3,1,0))</f>
        <v/>
      </c>
    </row>
    <row r="39">
      <c r="L39" s="13">
        <f>IF(C39="","",IF(C39&gt;=3,1,0))</f>
        <v/>
      </c>
    </row>
    <row r="40">
      <c r="L40" s="13">
        <f>IF(C40="","",IF(C40&gt;=3,1,0))</f>
        <v/>
      </c>
    </row>
    <row r="41">
      <c r="L41" s="13">
        <f>IF(C41="","",IF(C41&gt;=3,1,0))</f>
        <v/>
      </c>
    </row>
    <row r="42">
      <c r="L42" s="13">
        <f>IF(C42="","",IF(C42&gt;=3,1,0))</f>
        <v/>
      </c>
    </row>
    <row r="43">
      <c r="L43" s="13">
        <f>IF(C43="","",IF(C43&gt;=3,1,0))</f>
        <v/>
      </c>
    </row>
    <row r="44">
      <c r="L44" s="13">
        <f>IF(C44="","",IF(C44&gt;=3,1,0))</f>
        <v/>
      </c>
    </row>
    <row r="45">
      <c r="L45" s="13">
        <f>IF(C45="","",IF(C45&gt;=3,1,0))</f>
        <v/>
      </c>
    </row>
    <row r="46">
      <c r="L46" s="13">
        <f>IF(C46="","",IF(C46&gt;=3,1,0))</f>
        <v/>
      </c>
    </row>
    <row r="47">
      <c r="L47" s="13">
        <f>IF(C47="","",IF(C47&gt;=3,1,0))</f>
        <v/>
      </c>
    </row>
    <row r="48">
      <c r="L48" s="13">
        <f>IF(C48="","",IF(C48&gt;=3,1,0))</f>
        <v/>
      </c>
    </row>
    <row r="49">
      <c r="L49" s="13">
        <f>IF(C49="","",IF(C49&gt;=3,1,0))</f>
        <v/>
      </c>
    </row>
    <row r="50">
      <c r="L50" s="13">
        <f>IF(C50="","",IF(C50&gt;=3,1,0))</f>
        <v/>
      </c>
    </row>
    <row r="51">
      <c r="L51" s="13">
        <f>IF(C51="","",IF(C51&gt;=3,1,0))</f>
        <v/>
      </c>
    </row>
    <row r="52">
      <c r="L52" s="13">
        <f>IF(C52="","",IF(C52&gt;=3,1,0))</f>
        <v/>
      </c>
    </row>
    <row r="53">
      <c r="L53" s="13">
        <f>IF(C53="","",IF(C53&gt;=3,1,0))</f>
        <v/>
      </c>
    </row>
    <row r="54">
      <c r="L54" s="13">
        <f>IF(C54="","",IF(C54&gt;=3,1,0))</f>
        <v/>
      </c>
    </row>
    <row r="55">
      <c r="L55" s="13">
        <f>IF(C55="","",IF(C55&gt;=3,1,0))</f>
        <v/>
      </c>
    </row>
    <row r="56">
      <c r="L56" s="13">
        <f>IF(C56="","",IF(C56&gt;=3,1,0))</f>
        <v/>
      </c>
    </row>
    <row r="57">
      <c r="L57" s="13">
        <f>IF(C57="","",IF(C57&gt;=3,1,0))</f>
        <v/>
      </c>
    </row>
    <row r="58">
      <c r="L58" s="13">
        <f>IF(C58="","",IF(C58&gt;=3,1,0))</f>
        <v/>
      </c>
    </row>
    <row r="59">
      <c r="L59" s="13">
        <f>IF(C59="","",IF(C59&gt;=3,1,0))</f>
        <v/>
      </c>
    </row>
    <row r="60">
      <c r="L60" s="13">
        <f>IF(C60="","",IF(C60&gt;=3,1,0))</f>
        <v/>
      </c>
    </row>
    <row r="61">
      <c r="L61" s="13">
        <f>IF(C61="","",IF(C61&gt;=3,1,0))</f>
        <v/>
      </c>
    </row>
    <row r="62">
      <c r="L62" s="13">
        <f>IF(C62="","",IF(C62&gt;=3,1,0))</f>
        <v/>
      </c>
    </row>
    <row r="63">
      <c r="L63" s="13">
        <f>IF(C63="","",IF(C63&gt;=3,1,0))</f>
        <v/>
      </c>
    </row>
    <row r="64">
      <c r="L64" s="13">
        <f>IF(C64="","",IF(C64&gt;=3,1,0))</f>
        <v/>
      </c>
    </row>
    <row r="65">
      <c r="L65" s="13">
        <f>IF(C65="","",IF(C65&gt;=3,1,0))</f>
        <v/>
      </c>
    </row>
    <row r="66">
      <c r="L66" s="13">
        <f>IF(C66="","",IF(C66&gt;=3,1,0))</f>
        <v/>
      </c>
    </row>
    <row r="67">
      <c r="L67" s="13">
        <f>IF(C67="","",IF(C67&gt;=3,1,0))</f>
        <v/>
      </c>
    </row>
    <row r="68">
      <c r="L68" s="13">
        <f>IF(C68="","",IF(C68&gt;=3,1,0))</f>
        <v/>
      </c>
    </row>
    <row r="69">
      <c r="L69" s="13">
        <f>IF(C69="","",IF(C69&gt;=3,1,0))</f>
        <v/>
      </c>
    </row>
    <row r="70">
      <c r="L70" s="13">
        <f>IF(C70="","",IF(C70&gt;=3,1,0))</f>
        <v/>
      </c>
    </row>
    <row r="71">
      <c r="L71" s="13">
        <f>IF(C71="","",IF(C71&gt;=3,1,0))</f>
        <v/>
      </c>
    </row>
    <row r="72">
      <c r="L72" s="13">
        <f>IF(C72="","",IF(C72&gt;=3,1,0))</f>
        <v/>
      </c>
    </row>
    <row r="73">
      <c r="L73" s="13">
        <f>IF(C73="","",IF(C73&gt;=3,1,0))</f>
        <v/>
      </c>
    </row>
    <row r="74">
      <c r="L74" s="13">
        <f>IF(C74="","",IF(C74&gt;=3,1,0))</f>
        <v/>
      </c>
    </row>
    <row r="75">
      <c r="L75" s="13">
        <f>IF(C75="","",IF(C75&gt;=3,1,0))</f>
        <v/>
      </c>
    </row>
    <row r="76">
      <c r="L76" s="13">
        <f>IF(C76="","",IF(C76&gt;=3,1,0))</f>
        <v/>
      </c>
    </row>
    <row r="77">
      <c r="L77" s="13">
        <f>IF(C77="","",IF(C77&gt;=3,1,0))</f>
        <v/>
      </c>
    </row>
    <row r="78">
      <c r="L78" s="13">
        <f>IF(C78="","",IF(C78&gt;=3,1,0))</f>
        <v/>
      </c>
    </row>
    <row r="79">
      <c r="L79" s="13">
        <f>IF(C79="","",IF(C79&gt;=3,1,0))</f>
        <v/>
      </c>
    </row>
    <row r="80">
      <c r="L80" s="13">
        <f>IF(C80="","",IF(C80&gt;=3,1,0))</f>
        <v/>
      </c>
    </row>
    <row r="81">
      <c r="L81" s="13">
        <f>IF(C81="","",IF(C81&gt;=3,1,0))</f>
        <v/>
      </c>
    </row>
    <row r="82">
      <c r="L82" s="13">
        <f>IF(C82="","",IF(C82&gt;=3,1,0))</f>
        <v/>
      </c>
    </row>
    <row r="83">
      <c r="L83" s="13">
        <f>IF(C83="","",IF(C83&gt;=3,1,0))</f>
        <v/>
      </c>
    </row>
    <row r="84">
      <c r="L84" s="13">
        <f>IF(C84="","",IF(C84&gt;=3,1,0))</f>
        <v/>
      </c>
    </row>
    <row r="85">
      <c r="L85" s="13">
        <f>IF(C85="","",IF(C85&gt;=3,1,0))</f>
        <v/>
      </c>
    </row>
    <row r="86">
      <c r="L86" s="13">
        <f>IF(C86="","",IF(C86&gt;=3,1,0))</f>
        <v/>
      </c>
    </row>
    <row r="87">
      <c r="L87" s="13">
        <f>IF(C87="","",IF(C87&gt;=3,1,0))</f>
        <v/>
      </c>
    </row>
    <row r="88">
      <c r="L88" s="13">
        <f>IF(C88="","",IF(C88&gt;=3,1,0))</f>
        <v/>
      </c>
    </row>
    <row r="89">
      <c r="L89" s="13">
        <f>IF(C89="","",IF(C89&gt;=3,1,0))</f>
        <v/>
      </c>
    </row>
    <row r="90">
      <c r="L90" s="13">
        <f>IF(C90="","",IF(C90&gt;=3,1,0))</f>
        <v/>
      </c>
    </row>
    <row r="91">
      <c r="L91" s="13">
        <f>IF(C91="","",IF(C91&gt;=3,1,0))</f>
        <v/>
      </c>
    </row>
    <row r="92">
      <c r="L92" s="13">
        <f>IF(C92="","",IF(C92&gt;=3,1,0))</f>
        <v/>
      </c>
    </row>
    <row r="93">
      <c r="L93" s="13">
        <f>IF(C93="","",IF(C93&gt;=3,1,0))</f>
        <v/>
      </c>
    </row>
    <row r="94">
      <c r="L94" s="13">
        <f>IF(C94="","",IF(C94&gt;=3,1,0))</f>
        <v/>
      </c>
    </row>
    <row r="95">
      <c r="L95" s="13">
        <f>IF(C95="","",IF(C95&gt;=3,1,0))</f>
        <v/>
      </c>
    </row>
    <row r="96">
      <c r="L96" s="13">
        <f>IF(C96="","",IF(C96&gt;=3,1,0))</f>
        <v/>
      </c>
    </row>
    <row r="97">
      <c r="L97" s="13">
        <f>IF(C97="","",IF(C97&gt;=3,1,0))</f>
        <v/>
      </c>
    </row>
    <row r="98">
      <c r="L98" s="13">
        <f>IF(C98="","",IF(C98&gt;=3,1,0))</f>
        <v/>
      </c>
    </row>
    <row r="99">
      <c r="L99" s="13">
        <f>IF(C99="","",IF(C99&gt;=3,1,0))</f>
        <v/>
      </c>
    </row>
    <row r="100">
      <c r="L100" s="13">
        <f>IF(C100="","",IF(C100&gt;=3,1,0))</f>
        <v/>
      </c>
    </row>
    <row r="101">
      <c r="L101" s="13">
        <f>IF(C101="","",IF(C101&gt;=3,1,0))</f>
        <v/>
      </c>
    </row>
    <row r="102">
      <c r="L102" s="13">
        <f>IF(C102="","",IF(C102&gt;=3,1,0))</f>
        <v/>
      </c>
    </row>
    <row r="103">
      <c r="L103" s="13">
        <f>IF(C103="","",IF(C103&gt;=3,1,0))</f>
        <v/>
      </c>
    </row>
    <row r="104">
      <c r="L104" s="13">
        <f>IF(C104="","",IF(C104&gt;=3,1,0))</f>
        <v/>
      </c>
    </row>
    <row r="105">
      <c r="L105" s="13">
        <f>IF(C105="","",IF(C105&gt;=3,1,0))</f>
        <v/>
      </c>
    </row>
    <row r="106">
      <c r="L106" s="13">
        <f>IF(C106="","",IF(C106&gt;=3,1,0))</f>
        <v/>
      </c>
    </row>
    <row r="107">
      <c r="L107" s="13">
        <f>IF(C107="","",IF(C107&gt;=3,1,0))</f>
        <v/>
      </c>
    </row>
    <row r="108">
      <c r="L108" s="13">
        <f>IF(C108="","",IF(C108&gt;=3,1,0))</f>
        <v/>
      </c>
    </row>
    <row r="109">
      <c r="L109" s="13">
        <f>IF(C109="","",IF(C109&gt;=3,1,0))</f>
        <v/>
      </c>
    </row>
    <row r="110">
      <c r="L110" s="13">
        <f>IF(C110="","",IF(C110&gt;=3,1,0))</f>
        <v/>
      </c>
    </row>
    <row r="111">
      <c r="L111" s="13">
        <f>IF(C111="","",IF(C111&gt;=3,1,0))</f>
        <v/>
      </c>
    </row>
    <row r="112">
      <c r="L112" s="13">
        <f>IF(C112="","",IF(C112&gt;=3,1,0))</f>
        <v/>
      </c>
    </row>
    <row r="113">
      <c r="L113" s="13">
        <f>IF(C113="","",IF(C113&gt;=3,1,0))</f>
        <v/>
      </c>
    </row>
    <row r="114">
      <c r="L114" s="13">
        <f>IF(C114="","",IF(C114&gt;=3,1,0))</f>
        <v/>
      </c>
    </row>
    <row r="115">
      <c r="L115" s="13">
        <f>IF(C115="","",IF(C115&gt;=3,1,0))</f>
        <v/>
      </c>
    </row>
    <row r="116">
      <c r="L116" s="13">
        <f>IF(C116="","",IF(C116&gt;=3,1,0))</f>
        <v/>
      </c>
    </row>
    <row r="117">
      <c r="L117" s="13">
        <f>IF(C117="","",IF(C117&gt;=3,1,0))</f>
        <v/>
      </c>
    </row>
    <row r="118">
      <c r="L118" s="13">
        <f>IF(C118="","",IF(C118&gt;=3,1,0))</f>
        <v/>
      </c>
    </row>
    <row r="119">
      <c r="L119" s="13">
        <f>IF(C119="","",IF(C119&gt;=3,1,0))</f>
        <v/>
      </c>
    </row>
    <row r="120">
      <c r="L120" s="13">
        <f>IF(C120="","",IF(C120&gt;=3,1,0))</f>
        <v/>
      </c>
    </row>
    <row r="121">
      <c r="L121" s="13">
        <f>IF(C121="","",IF(C121&gt;=3,1,0))</f>
        <v/>
      </c>
    </row>
    <row r="122">
      <c r="L122" s="13">
        <f>IF(C122="","",IF(C122&gt;=3,1,0))</f>
        <v/>
      </c>
    </row>
    <row r="123">
      <c r="L123" s="13">
        <f>IF(C123="","",IF(C123&gt;=3,1,0))</f>
        <v/>
      </c>
    </row>
    <row r="124">
      <c r="L124" s="13">
        <f>IF(C124="","",IF(C124&gt;=3,1,0))</f>
        <v/>
      </c>
    </row>
    <row r="125">
      <c r="L125" s="13">
        <f>IF(C125="","",IF(C125&gt;=3,1,0))</f>
        <v/>
      </c>
    </row>
    <row r="126">
      <c r="L126" s="13">
        <f>IF(C126="","",IF(C126&gt;=3,1,0))</f>
        <v/>
      </c>
    </row>
    <row r="127">
      <c r="L127" s="13">
        <f>IF(C127="","",IF(C127&gt;=3,1,0))</f>
        <v/>
      </c>
    </row>
    <row r="128">
      <c r="L128" s="13">
        <f>IF(C128="","",IF(C128&gt;=3,1,0))</f>
        <v/>
      </c>
    </row>
    <row r="129">
      <c r="L129" s="13">
        <f>IF(C129="","",IF(C129&gt;=3,1,0))</f>
        <v/>
      </c>
    </row>
    <row r="130">
      <c r="L130" s="13">
        <f>IF(C130="","",IF(C130&gt;=3,1,0))</f>
        <v/>
      </c>
    </row>
    <row r="131">
      <c r="L131" s="13">
        <f>IF(C131="","",IF(C131&gt;=3,1,0))</f>
        <v/>
      </c>
    </row>
    <row r="132">
      <c r="L132" s="13">
        <f>IF(C132="","",IF(C132&gt;=3,1,0))</f>
        <v/>
      </c>
    </row>
    <row r="133">
      <c r="L133" s="13">
        <f>IF(C133="","",IF(C133&gt;=3,1,0))</f>
        <v/>
      </c>
    </row>
    <row r="134">
      <c r="L134" s="13">
        <f>IF(C134="","",IF(C134&gt;=3,1,0))</f>
        <v/>
      </c>
    </row>
    <row r="135">
      <c r="L135" s="13">
        <f>IF(C135="","",IF(C135&gt;=3,1,0))</f>
        <v/>
      </c>
    </row>
    <row r="136">
      <c r="L136" s="13">
        <f>IF(C136="","",IF(C136&gt;=3,1,0))</f>
        <v/>
      </c>
    </row>
    <row r="137">
      <c r="L137" s="13">
        <f>IF(C137="","",IF(C137&gt;=3,1,0))</f>
        <v/>
      </c>
    </row>
    <row r="138">
      <c r="L138" s="13">
        <f>IF(C138="","",IF(C138&gt;=3,1,0))</f>
        <v/>
      </c>
    </row>
    <row r="139">
      <c r="L139" s="13">
        <f>IF(C139="","",IF(C139&gt;=3,1,0))</f>
        <v/>
      </c>
    </row>
    <row r="140">
      <c r="L140" s="13">
        <f>IF(C140="","",IF(C140&gt;=3,1,0))</f>
        <v/>
      </c>
    </row>
    <row r="141">
      <c r="L141" s="13">
        <f>IF(C141="","",IF(C141&gt;=3,1,0))</f>
        <v/>
      </c>
    </row>
    <row r="142">
      <c r="L142" s="13">
        <f>IF(C142="","",IF(C142&gt;=3,1,0))</f>
        <v/>
      </c>
    </row>
    <row r="143">
      <c r="L143" s="13">
        <f>IF(C143="","",IF(C143&gt;=3,1,0))</f>
        <v/>
      </c>
    </row>
    <row r="144">
      <c r="L144" s="13">
        <f>IF(C144="","",IF(C144&gt;=3,1,0))</f>
        <v/>
      </c>
    </row>
    <row r="145">
      <c r="L145" s="13">
        <f>IF(C145="","",IF(C145&gt;=3,1,0))</f>
        <v/>
      </c>
    </row>
    <row r="146">
      <c r="L146" s="13">
        <f>IF(C146="","",IF(C146&gt;=3,1,0))</f>
        <v/>
      </c>
    </row>
    <row r="147">
      <c r="L147" s="13">
        <f>IF(C147="","",IF(C147&gt;=3,1,0))</f>
        <v/>
      </c>
    </row>
    <row r="148">
      <c r="L148" s="13">
        <f>IF(C148="","",IF(C148&gt;=3,1,0))</f>
        <v/>
      </c>
    </row>
    <row r="149">
      <c r="L149" s="13">
        <f>IF(C149="","",IF(C149&gt;=3,1,0))</f>
        <v/>
      </c>
    </row>
    <row r="150">
      <c r="L150" s="13">
        <f>IF(C150="","",IF(C150&gt;=3,1,0))</f>
        <v/>
      </c>
    </row>
    <row r="151">
      <c r="L151" s="13">
        <f>IF(C151="","",IF(C151&gt;=3,1,0))</f>
        <v/>
      </c>
    </row>
    <row r="152">
      <c r="L152" s="13">
        <f>IF(C152="","",IF(C152&gt;=3,1,0))</f>
        <v/>
      </c>
    </row>
    <row r="153">
      <c r="L153" s="13">
        <f>IF(C153="","",IF(C153&gt;=3,1,0))</f>
        <v/>
      </c>
    </row>
    <row r="154">
      <c r="L154" s="13">
        <f>IF(C154="","",IF(C154&gt;=3,1,0))</f>
        <v/>
      </c>
    </row>
    <row r="155">
      <c r="L155" s="13">
        <f>IF(C155="","",IF(C155&gt;=3,1,0))</f>
        <v/>
      </c>
    </row>
    <row r="156">
      <c r="L156" s="13">
        <f>IF(C156="","",IF(C156&gt;=3,1,0))</f>
        <v/>
      </c>
    </row>
    <row r="157">
      <c r="L157" s="13">
        <f>IF(C157="","",IF(C157&gt;=3,1,0))</f>
        <v/>
      </c>
    </row>
    <row r="158">
      <c r="L158" s="13">
        <f>IF(C158="","",IF(C158&gt;=3,1,0))</f>
        <v/>
      </c>
    </row>
    <row r="159">
      <c r="L159" s="13">
        <f>IF(C159="","",IF(C159&gt;=3,1,0))</f>
        <v/>
      </c>
    </row>
    <row r="160">
      <c r="L160" s="13">
        <f>IF(C160="","",IF(C160&gt;=3,1,0))</f>
        <v/>
      </c>
    </row>
    <row r="161">
      <c r="L161" s="13">
        <f>IF(C161="","",IF(C161&gt;=3,1,0))</f>
        <v/>
      </c>
    </row>
    <row r="162">
      <c r="L162" s="13">
        <f>IF(C162="","",IF(C162&gt;=3,1,0))</f>
        <v/>
      </c>
    </row>
    <row r="163">
      <c r="L163" s="13">
        <f>IF(C163="","",IF(C163&gt;=3,1,0))</f>
        <v/>
      </c>
    </row>
    <row r="164">
      <c r="L164" s="13">
        <f>IF(C164="","",IF(C164&gt;=3,1,0))</f>
        <v/>
      </c>
    </row>
    <row r="165">
      <c r="L165" s="13">
        <f>IF(C165="","",IF(C165&gt;=3,1,0))</f>
        <v/>
      </c>
    </row>
    <row r="166">
      <c r="L166" s="13">
        <f>IF(C166="","",IF(C166&gt;=3,1,0))</f>
        <v/>
      </c>
    </row>
    <row r="167">
      <c r="L167" s="13">
        <f>IF(C167="","",IF(C167&gt;=3,1,0))</f>
        <v/>
      </c>
    </row>
    <row r="168">
      <c r="L168" s="13">
        <f>IF(C168="","",IF(C168&gt;=3,1,0))</f>
        <v/>
      </c>
    </row>
    <row r="169">
      <c r="L169" s="13">
        <f>IF(C169="","",IF(C169&gt;=3,1,0))</f>
        <v/>
      </c>
    </row>
    <row r="170">
      <c r="L170" s="13">
        <f>IF(C170="","",IF(C170&gt;=3,1,0))</f>
        <v/>
      </c>
    </row>
    <row r="171">
      <c r="L171" s="13">
        <f>IF(C171="","",IF(C171&gt;=3,1,0))</f>
        <v/>
      </c>
    </row>
    <row r="172">
      <c r="L172" s="13">
        <f>IF(C172="","",IF(C172&gt;=3,1,0))</f>
        <v/>
      </c>
    </row>
    <row r="173">
      <c r="L173" s="13">
        <f>IF(C173="","",IF(C173&gt;=3,1,0))</f>
        <v/>
      </c>
    </row>
    <row r="174">
      <c r="L174" s="13">
        <f>IF(C174="","",IF(C174&gt;=3,1,0))</f>
        <v/>
      </c>
    </row>
    <row r="175">
      <c r="L175" s="13">
        <f>IF(C175="","",IF(C175&gt;=3,1,0))</f>
        <v/>
      </c>
    </row>
    <row r="176">
      <c r="L176" s="13">
        <f>IF(C176="","",IF(C176&gt;=3,1,0))</f>
        <v/>
      </c>
    </row>
    <row r="177">
      <c r="L177" s="13">
        <f>IF(C177="","",IF(C177&gt;=3,1,0))</f>
        <v/>
      </c>
    </row>
    <row r="178">
      <c r="L178" s="13">
        <f>IF(C178="","",IF(C178&gt;=3,1,0))</f>
        <v/>
      </c>
    </row>
    <row r="179">
      <c r="L179" s="13">
        <f>IF(C179="","",IF(C179&gt;=3,1,0))</f>
        <v/>
      </c>
    </row>
    <row r="180">
      <c r="L180" s="13">
        <f>IF(C180="","",IF(C180&gt;=3,1,0))</f>
        <v/>
      </c>
    </row>
    <row r="181">
      <c r="L181" s="13">
        <f>IF(C181="","",IF(C181&gt;=3,1,0))</f>
        <v/>
      </c>
    </row>
    <row r="182">
      <c r="L182" s="13">
        <f>IF(C182="","",IF(C182&gt;=3,1,0))</f>
        <v/>
      </c>
    </row>
    <row r="183">
      <c r="L183" s="13">
        <f>IF(C183="","",IF(C183&gt;=3,1,0))</f>
        <v/>
      </c>
    </row>
    <row r="184">
      <c r="L184" s="13">
        <f>IF(C184="","",IF(C184&gt;=3,1,0))</f>
        <v/>
      </c>
    </row>
    <row r="185">
      <c r="L185" s="13">
        <f>IF(C185="","",IF(C185&gt;=3,1,0))</f>
        <v/>
      </c>
    </row>
    <row r="186">
      <c r="L186" s="13">
        <f>IF(C186="","",IF(C186&gt;=3,1,0))</f>
        <v/>
      </c>
    </row>
    <row r="187">
      <c r="L187" s="13">
        <f>IF(C187="","",IF(C187&gt;=3,1,0))</f>
        <v/>
      </c>
    </row>
    <row r="188">
      <c r="L188" s="13">
        <f>IF(C188="","",IF(C188&gt;=3,1,0))</f>
        <v/>
      </c>
    </row>
    <row r="189">
      <c r="L189" s="13">
        <f>IF(C189="","",IF(C189&gt;=3,1,0))</f>
        <v/>
      </c>
    </row>
    <row r="190">
      <c r="L190" s="13">
        <f>IF(C190="","",IF(C190&gt;=3,1,0))</f>
        <v/>
      </c>
    </row>
    <row r="191">
      <c r="L191" s="13">
        <f>IF(C191="","",IF(C191&gt;=3,1,0))</f>
        <v/>
      </c>
    </row>
    <row r="192">
      <c r="L192" s="13">
        <f>IF(C192="","",IF(C192&gt;=3,1,0))</f>
        <v/>
      </c>
    </row>
    <row r="193">
      <c r="L193" s="13">
        <f>IF(C193="","",IF(C193&gt;=3,1,0))</f>
        <v/>
      </c>
    </row>
    <row r="194">
      <c r="L194" s="13">
        <f>IF(C194="","",IF(C194&gt;=3,1,0))</f>
        <v/>
      </c>
    </row>
    <row r="195">
      <c r="L195" s="13">
        <f>IF(C195="","",IF(C195&gt;=3,1,0))</f>
        <v/>
      </c>
    </row>
    <row r="196">
      <c r="L196" s="13">
        <f>IF(C196="","",IF(C196&gt;=3,1,0))</f>
        <v/>
      </c>
    </row>
    <row r="197">
      <c r="L197" s="13">
        <f>IF(C197="","",IF(C197&gt;=3,1,0))</f>
        <v/>
      </c>
    </row>
    <row r="198">
      <c r="L198" s="13">
        <f>IF(C198="","",IF(C198&gt;=3,1,0))</f>
        <v/>
      </c>
    </row>
    <row r="199">
      <c r="L199" s="13">
        <f>IF(C199="","",IF(C199&gt;=3,1,0))</f>
        <v/>
      </c>
    </row>
    <row r="200">
      <c r="L200" s="13">
        <f>IF(C200="","",IF(C200&gt;=3,1,0))</f>
        <v/>
      </c>
    </row>
    <row r="201">
      <c r="L201" s="13">
        <f>IF(C201="","",IF(C201&gt;=3,1,0))</f>
        <v/>
      </c>
    </row>
    <row r="202">
      <c r="L202" s="13">
        <f>IF(C202="","",IF(C202&gt;=3,1,0))</f>
        <v/>
      </c>
    </row>
    <row r="203">
      <c r="L203" s="13">
        <f>IF(C203="","",IF(C203&gt;=3,1,0))</f>
        <v/>
      </c>
    </row>
    <row r="204">
      <c r="L204" s="13">
        <f>IF(C204="","",IF(C204&gt;=3,1,0))</f>
        <v/>
      </c>
    </row>
    <row r="205">
      <c r="L205" s="13">
        <f>IF(C205="","",IF(C205&gt;=3,1,0))</f>
        <v/>
      </c>
    </row>
    <row r="206">
      <c r="L206" s="13">
        <f>IF(C206="","",IF(C206&gt;=3,1,0))</f>
        <v/>
      </c>
    </row>
    <row r="207">
      <c r="L207" s="13">
        <f>IF(C207="","",IF(C207&gt;=3,1,0))</f>
        <v/>
      </c>
    </row>
    <row r="208">
      <c r="L208" s="13">
        <f>IF(C208="","",IF(C208&gt;=3,1,0))</f>
        <v/>
      </c>
    </row>
    <row r="209">
      <c r="L209" s="13">
        <f>IF(C209="","",IF(C209&gt;=3,1,0))</f>
        <v/>
      </c>
    </row>
    <row r="210">
      <c r="L210" s="13">
        <f>IF(C210="","",IF(C210&gt;=3,1,0))</f>
        <v/>
      </c>
    </row>
    <row r="211">
      <c r="L211" s="13">
        <f>IF(C211="","",IF(C211&gt;=3,1,0))</f>
        <v/>
      </c>
    </row>
    <row r="212">
      <c r="L212" s="13">
        <f>IF(C212="","",IF(C212&gt;=3,1,0))</f>
        <v/>
      </c>
    </row>
    <row r="213">
      <c r="L213" s="13">
        <f>IF(C213="","",IF(C213&gt;=3,1,0))</f>
        <v/>
      </c>
    </row>
    <row r="214">
      <c r="L214" s="13">
        <f>IF(C214="","",IF(C214&gt;=3,1,0))</f>
        <v/>
      </c>
    </row>
    <row r="215">
      <c r="L215" s="13">
        <f>IF(C215="","",IF(C215&gt;=3,1,0))</f>
        <v/>
      </c>
    </row>
    <row r="216">
      <c r="L216" s="13">
        <f>IF(C216="","",IF(C216&gt;=3,1,0))</f>
        <v/>
      </c>
    </row>
    <row r="217">
      <c r="L217" s="13">
        <f>IF(C217="","",IF(C217&gt;=3,1,0))</f>
        <v/>
      </c>
    </row>
    <row r="218">
      <c r="L218" s="13">
        <f>IF(C218="","",IF(C218&gt;=3,1,0))</f>
        <v/>
      </c>
    </row>
    <row r="219">
      <c r="L219" s="13">
        <f>IF(C219="","",IF(C219&gt;=3,1,0))</f>
        <v/>
      </c>
    </row>
    <row r="220">
      <c r="L220" s="13">
        <f>IF(C220="","",IF(C220&gt;=3,1,0))</f>
        <v/>
      </c>
    </row>
    <row r="221">
      <c r="L221" s="13">
        <f>IF(C221="","",IF(C221&gt;=3,1,0))</f>
        <v/>
      </c>
    </row>
    <row r="222">
      <c r="L222" s="13">
        <f>IF(C222="","",IF(C222&gt;=3,1,0))</f>
        <v/>
      </c>
    </row>
    <row r="223">
      <c r="L223" s="13">
        <f>IF(C223="","",IF(C223&gt;=3,1,0))</f>
        <v/>
      </c>
    </row>
    <row r="224">
      <c r="L224" s="13">
        <f>IF(C224="","",IF(C224&gt;=3,1,0))</f>
        <v/>
      </c>
    </row>
    <row r="225">
      <c r="L225" s="13">
        <f>IF(C225="","",IF(C225&gt;=3,1,0))</f>
        <v/>
      </c>
    </row>
    <row r="226">
      <c r="L226" s="13">
        <f>IF(C226="","",IF(C226&gt;=3,1,0))</f>
        <v/>
      </c>
    </row>
    <row r="227">
      <c r="L227" s="13">
        <f>IF(C227="","",IF(C227&gt;=3,1,0))</f>
        <v/>
      </c>
    </row>
    <row r="228">
      <c r="L228" s="13">
        <f>IF(C228="","",IF(C228&gt;=3,1,0))</f>
        <v/>
      </c>
    </row>
    <row r="229">
      <c r="L229" s="13">
        <f>IF(C229="","",IF(C229&gt;=3,1,0))</f>
        <v/>
      </c>
    </row>
    <row r="230">
      <c r="L230" s="13">
        <f>IF(C230="","",IF(C230&gt;=3,1,0))</f>
        <v/>
      </c>
    </row>
    <row r="231">
      <c r="L231" s="13">
        <f>IF(C231="","",IF(C231&gt;=3,1,0))</f>
        <v/>
      </c>
    </row>
    <row r="232">
      <c r="L232" s="13">
        <f>IF(C232="","",IF(C232&gt;=3,1,0))</f>
        <v/>
      </c>
    </row>
    <row r="233">
      <c r="L233" s="13">
        <f>IF(C233="","",IF(C233&gt;=3,1,0))</f>
        <v/>
      </c>
    </row>
    <row r="234">
      <c r="L234" s="13">
        <f>IF(C234="","",IF(C234&gt;=3,1,0))</f>
        <v/>
      </c>
    </row>
    <row r="235">
      <c r="L235" s="13">
        <f>IF(C235="","",IF(C235&gt;=3,1,0))</f>
        <v/>
      </c>
    </row>
    <row r="236">
      <c r="L236" s="13">
        <f>IF(C236="","",IF(C236&gt;=3,1,0))</f>
        <v/>
      </c>
    </row>
    <row r="237">
      <c r="L237" s="13">
        <f>IF(C237="","",IF(C237&gt;=3,1,0))</f>
        <v/>
      </c>
    </row>
    <row r="238">
      <c r="L238" s="13">
        <f>IF(C238="","",IF(C238&gt;=3,1,0))</f>
        <v/>
      </c>
    </row>
    <row r="239">
      <c r="L239" s="13">
        <f>IF(C239="","",IF(C239&gt;=3,1,0))</f>
        <v/>
      </c>
    </row>
    <row r="240">
      <c r="L240" s="13">
        <f>IF(C240="","",IF(C240&gt;=3,1,0))</f>
        <v/>
      </c>
    </row>
    <row r="241">
      <c r="L241" s="13">
        <f>IF(C241="","",IF(C241&gt;=3,1,0))</f>
        <v/>
      </c>
    </row>
    <row r="242">
      <c r="L242" s="13">
        <f>IF(C242="","",IF(C242&gt;=3,1,0))</f>
        <v/>
      </c>
    </row>
    <row r="243">
      <c r="L243" s="13">
        <f>IF(C243="","",IF(C243&gt;=3,1,0))</f>
        <v/>
      </c>
    </row>
    <row r="244">
      <c r="L244" s="13">
        <f>IF(C244="","",IF(C244&gt;=3,1,0))</f>
        <v/>
      </c>
    </row>
    <row r="245">
      <c r="L245" s="13">
        <f>IF(C245="","",IF(C245&gt;=3,1,0))</f>
        <v/>
      </c>
    </row>
    <row r="246">
      <c r="L246" s="13">
        <f>IF(C246="","",IF(C246&gt;=3,1,0))</f>
        <v/>
      </c>
    </row>
    <row r="247">
      <c r="L247" s="13">
        <f>IF(C247="","",IF(C247&gt;=3,1,0))</f>
        <v/>
      </c>
    </row>
    <row r="248">
      <c r="L248" s="13">
        <f>IF(C248="","",IF(C248&gt;=3,1,0))</f>
        <v/>
      </c>
    </row>
    <row r="249">
      <c r="L249" s="13">
        <f>IF(C249="","",IF(C249&gt;=3,1,0))</f>
        <v/>
      </c>
    </row>
    <row r="250">
      <c r="L250" s="13">
        <f>IF(C250="","",IF(C250&gt;=3,1,0))</f>
        <v/>
      </c>
    </row>
    <row r="251">
      <c r="L251" s="13">
        <f>IF(C251="","",IF(C251&gt;=3,1,0))</f>
        <v/>
      </c>
    </row>
    <row r="252">
      <c r="L252" s="13">
        <f>IF(C252="","",IF(C252&gt;=3,1,0))</f>
        <v/>
      </c>
    </row>
    <row r="253">
      <c r="L253" s="13">
        <f>IF(C253="","",IF(C253&gt;=3,1,0))</f>
        <v/>
      </c>
    </row>
    <row r="254">
      <c r="L254" s="13">
        <f>IF(C254="","",IF(C254&gt;=3,1,0))</f>
        <v/>
      </c>
    </row>
    <row r="255">
      <c r="L255" s="13">
        <f>IF(C255="","",IF(C255&gt;=3,1,0))</f>
        <v/>
      </c>
    </row>
    <row r="256">
      <c r="L256" s="13">
        <f>IF(C256="","",IF(C256&gt;=3,1,0))</f>
        <v/>
      </c>
    </row>
    <row r="257">
      <c r="L257" s="13">
        <f>IF(C257="","",IF(C257&gt;=3,1,0))</f>
        <v/>
      </c>
    </row>
    <row r="258">
      <c r="L258" s="13">
        <f>IF(C258="","",IF(C258&gt;=3,1,0))</f>
        <v/>
      </c>
    </row>
    <row r="259">
      <c r="L259" s="13">
        <f>IF(C259="","",IF(C259&gt;=3,1,0))</f>
        <v/>
      </c>
    </row>
    <row r="260">
      <c r="L260" s="13">
        <f>IF(C260="","",IF(C260&gt;=3,1,0))</f>
        <v/>
      </c>
    </row>
    <row r="261">
      <c r="L261" s="13">
        <f>IF(C261="","",IF(C261&gt;=3,1,0))</f>
        <v/>
      </c>
    </row>
    <row r="262">
      <c r="L262" s="13">
        <f>IF(C262="","",IF(C262&gt;=3,1,0))</f>
        <v/>
      </c>
    </row>
    <row r="263">
      <c r="L263" s="13">
        <f>IF(C263="","",IF(C263&gt;=3,1,0))</f>
        <v/>
      </c>
    </row>
    <row r="264">
      <c r="L264" s="13">
        <f>IF(C264="","",IF(C264&gt;=3,1,0))</f>
        <v/>
      </c>
    </row>
    <row r="265">
      <c r="L265" s="13">
        <f>IF(C265="","",IF(C265&gt;=3,1,0))</f>
        <v/>
      </c>
    </row>
    <row r="266">
      <c r="L266" s="13">
        <f>IF(C266="","",IF(C266&gt;=3,1,0))</f>
        <v/>
      </c>
    </row>
    <row r="267">
      <c r="L267" s="13">
        <f>IF(C267="","",IF(C267&gt;=3,1,0))</f>
        <v/>
      </c>
    </row>
    <row r="268">
      <c r="L268" s="13">
        <f>IF(C268="","",IF(C268&gt;=3,1,0))</f>
        <v/>
      </c>
    </row>
    <row r="269">
      <c r="L269" s="13">
        <f>IF(C269="","",IF(C269&gt;=3,1,0))</f>
        <v/>
      </c>
    </row>
    <row r="270">
      <c r="L270" s="13">
        <f>IF(C270="","",IF(C270&gt;=3,1,0))</f>
        <v/>
      </c>
    </row>
    <row r="271">
      <c r="L271" s="13">
        <f>IF(C271="","",IF(C271&gt;=3,1,0))</f>
        <v/>
      </c>
    </row>
    <row r="272">
      <c r="L272" s="13">
        <f>IF(C272="","",IF(C272&gt;=3,1,0))</f>
        <v/>
      </c>
    </row>
    <row r="273">
      <c r="L273" s="13">
        <f>IF(C273="","",IF(C273&gt;=3,1,0))</f>
        <v/>
      </c>
    </row>
    <row r="274">
      <c r="L274" s="13">
        <f>IF(C274="","",IF(C274&gt;=3,1,0))</f>
        <v/>
      </c>
    </row>
    <row r="275">
      <c r="L275" s="13">
        <f>IF(C275="","",IF(C275&gt;=3,1,0))</f>
        <v/>
      </c>
    </row>
    <row r="276">
      <c r="L276" s="13">
        <f>IF(C276="","",IF(C276&gt;=3,1,0))</f>
        <v/>
      </c>
    </row>
    <row r="277">
      <c r="L277" s="13">
        <f>IF(C277="","",IF(C277&gt;=3,1,0))</f>
        <v/>
      </c>
    </row>
    <row r="278">
      <c r="L278" s="13">
        <f>IF(C278="","",IF(C278&gt;=3,1,0))</f>
        <v/>
      </c>
    </row>
    <row r="279">
      <c r="L279" s="13">
        <f>IF(C279="","",IF(C279&gt;=3,1,0))</f>
        <v/>
      </c>
    </row>
    <row r="280">
      <c r="L280" s="13">
        <f>IF(C280="","",IF(C280&gt;=3,1,0))</f>
        <v/>
      </c>
    </row>
    <row r="281">
      <c r="L281" s="13">
        <f>IF(C281="","",IF(C281&gt;=3,1,0))</f>
        <v/>
      </c>
    </row>
    <row r="282">
      <c r="L282" s="13">
        <f>IF(C282="","",IF(C282&gt;=3,1,0))</f>
        <v/>
      </c>
    </row>
    <row r="283">
      <c r="L283" s="13">
        <f>IF(C283="","",IF(C283&gt;=3,1,0))</f>
        <v/>
      </c>
    </row>
    <row r="284">
      <c r="L284" s="13">
        <f>IF(C284="","",IF(C284&gt;=3,1,0))</f>
        <v/>
      </c>
    </row>
    <row r="285">
      <c r="L285" s="13">
        <f>IF(C285="","",IF(C285&gt;=3,1,0))</f>
        <v/>
      </c>
    </row>
    <row r="286">
      <c r="L286" s="13">
        <f>IF(C286="","",IF(C286&gt;=3,1,0))</f>
        <v/>
      </c>
    </row>
    <row r="287">
      <c r="L287" s="13">
        <f>IF(C287="","",IF(C287&gt;=3,1,0))</f>
        <v/>
      </c>
    </row>
    <row r="288">
      <c r="L288" s="13">
        <f>IF(C288="","",IF(C288&gt;=3,1,0))</f>
        <v/>
      </c>
    </row>
    <row r="289">
      <c r="L289" s="13">
        <f>IF(C289="","",IF(C289&gt;=3,1,0))</f>
        <v/>
      </c>
    </row>
    <row r="290">
      <c r="L290" s="13">
        <f>IF(C290="","",IF(C290&gt;=3,1,0))</f>
        <v/>
      </c>
    </row>
    <row r="291">
      <c r="L291" s="13">
        <f>IF(C291="","",IF(C291&gt;=3,1,0))</f>
        <v/>
      </c>
    </row>
    <row r="292">
      <c r="L292" s="13">
        <f>IF(C292="","",IF(C292&gt;=3,1,0))</f>
        <v/>
      </c>
    </row>
    <row r="293">
      <c r="L293" s="13">
        <f>IF(C293="","",IF(C293&gt;=3,1,0))</f>
        <v/>
      </c>
    </row>
    <row r="294">
      <c r="L294" s="13">
        <f>IF(C294="","",IF(C294&gt;=3,1,0))</f>
        <v/>
      </c>
    </row>
    <row r="295">
      <c r="L295" s="13">
        <f>IF(C295="","",IF(C295&gt;=3,1,0))</f>
        <v/>
      </c>
    </row>
    <row r="296">
      <c r="L296" s="13">
        <f>IF(C296="","",IF(C296&gt;=3,1,0))</f>
        <v/>
      </c>
    </row>
    <row r="297">
      <c r="L297" s="13">
        <f>IF(C297="","",IF(C297&gt;=3,1,0))</f>
        <v/>
      </c>
    </row>
    <row r="298">
      <c r="L298" s="13">
        <f>IF(C298="","",IF(C298&gt;=3,1,0))</f>
        <v/>
      </c>
    </row>
    <row r="299">
      <c r="L299" s="13">
        <f>IF(C299="","",IF(C299&gt;=3,1,0))</f>
        <v/>
      </c>
    </row>
    <row r="300">
      <c r="L300" s="13">
        <f>IF(C300="","",IF(C300&gt;=3,1,0))</f>
        <v/>
      </c>
    </row>
    <row r="301">
      <c r="L301" s="13">
        <f>IF(C301="","",IF(C301&gt;=3,1,0))</f>
        <v/>
      </c>
    </row>
    <row r="302">
      <c r="L302" s="13">
        <f>IF(C302="","",IF(C302&gt;=3,1,0))</f>
        <v/>
      </c>
    </row>
    <row r="303">
      <c r="L303" s="13">
        <f>IF(C303="","",IF(C303&gt;=3,1,0))</f>
        <v/>
      </c>
    </row>
    <row r="304">
      <c r="L304" s="13">
        <f>IF(C304="","",IF(C304&gt;=3,1,0))</f>
        <v/>
      </c>
    </row>
    <row r="305">
      <c r="L305" s="13">
        <f>IF(C305="","",IF(C305&gt;=3,1,0))</f>
        <v/>
      </c>
    </row>
    <row r="306">
      <c r="L306" s="13">
        <f>IF(C306="","",IF(C306&gt;=3,1,0))</f>
        <v/>
      </c>
    </row>
    <row r="307">
      <c r="L307" s="13">
        <f>IF(C307="","",IF(C307&gt;=3,1,0))</f>
        <v/>
      </c>
    </row>
    <row r="308">
      <c r="L308" s="13">
        <f>IF(C308="","",IF(C308&gt;=3,1,0))</f>
        <v/>
      </c>
    </row>
    <row r="309">
      <c r="L309" s="13">
        <f>IF(C309="","",IF(C309&gt;=3,1,0))</f>
        <v/>
      </c>
    </row>
    <row r="310">
      <c r="L310" s="13">
        <f>IF(C310="","",IF(C310&gt;=3,1,0))</f>
        <v/>
      </c>
    </row>
    <row r="311">
      <c r="L311" s="13">
        <f>IF(C311="","",IF(C311&gt;=3,1,0))</f>
        <v/>
      </c>
    </row>
    <row r="312">
      <c r="L312" s="13">
        <f>IF(C312="","",IF(C312&gt;=3,1,0))</f>
        <v/>
      </c>
    </row>
    <row r="313">
      <c r="L313" s="13">
        <f>IF(C313="","",IF(C313&gt;=3,1,0))</f>
        <v/>
      </c>
    </row>
    <row r="314">
      <c r="L314" s="13">
        <f>IF(C314="","",IF(C314&gt;=3,1,0))</f>
        <v/>
      </c>
    </row>
    <row r="315">
      <c r="L315" s="13">
        <f>IF(C315="","",IF(C315&gt;=3,1,0))</f>
        <v/>
      </c>
    </row>
    <row r="316">
      <c r="L316" s="13">
        <f>IF(C316="","",IF(C316&gt;=3,1,0))</f>
        <v/>
      </c>
    </row>
    <row r="317">
      <c r="L317" s="13">
        <f>IF(C317="","",IF(C317&gt;=3,1,0))</f>
        <v/>
      </c>
    </row>
    <row r="318">
      <c r="L318" s="13">
        <f>IF(C318="","",IF(C318&gt;=3,1,0))</f>
        <v/>
      </c>
    </row>
    <row r="319">
      <c r="L319" s="13">
        <f>IF(C319="","",IF(C319&gt;=3,1,0))</f>
        <v/>
      </c>
    </row>
    <row r="320">
      <c r="L320" s="13">
        <f>IF(C320="","",IF(C320&gt;=3,1,0))</f>
        <v/>
      </c>
    </row>
    <row r="321">
      <c r="L321" s="13">
        <f>IF(C321="","",IF(C321&gt;=3,1,0))</f>
        <v/>
      </c>
    </row>
    <row r="322">
      <c r="L322" s="13">
        <f>IF(C322="","",IF(C322&gt;=3,1,0))</f>
        <v/>
      </c>
    </row>
    <row r="323">
      <c r="L323" s="13">
        <f>IF(C323="","",IF(C323&gt;=3,1,0))</f>
        <v/>
      </c>
    </row>
    <row r="324">
      <c r="L324" s="13">
        <f>IF(C324="","",IF(C324&gt;=3,1,0))</f>
        <v/>
      </c>
    </row>
    <row r="325">
      <c r="L325" s="13">
        <f>IF(C325="","",IF(C325&gt;=3,1,0))</f>
        <v/>
      </c>
    </row>
    <row r="326">
      <c r="L326" s="13">
        <f>IF(C326="","",IF(C326&gt;=3,1,0))</f>
        <v/>
      </c>
    </row>
    <row r="327">
      <c r="L327" s="13">
        <f>IF(C327="","",IF(C327&gt;=3,1,0))</f>
        <v/>
      </c>
    </row>
    <row r="328">
      <c r="L328" s="13">
        <f>IF(C328="","",IF(C328&gt;=3,1,0))</f>
        <v/>
      </c>
    </row>
    <row r="329">
      <c r="L329" s="13">
        <f>IF(C329="","",IF(C329&gt;=3,1,0))</f>
        <v/>
      </c>
    </row>
    <row r="330">
      <c r="L330" s="13">
        <f>IF(C330="","",IF(C330&gt;=3,1,0))</f>
        <v/>
      </c>
    </row>
    <row r="331">
      <c r="L331" s="13">
        <f>IF(C331="","",IF(C331&gt;=3,1,0))</f>
        <v/>
      </c>
    </row>
    <row r="332">
      <c r="L332" s="13">
        <f>IF(C332="","",IF(C332&gt;=3,1,0))</f>
        <v/>
      </c>
    </row>
    <row r="333">
      <c r="L333" s="13">
        <f>IF(C333="","",IF(C333&gt;=3,1,0))</f>
        <v/>
      </c>
    </row>
    <row r="334">
      <c r="L334" s="13">
        <f>IF(C334="","",IF(C334&gt;=3,1,0))</f>
        <v/>
      </c>
    </row>
    <row r="335">
      <c r="L335" s="13">
        <f>IF(C335="","",IF(C335&gt;=3,1,0))</f>
        <v/>
      </c>
    </row>
    <row r="336">
      <c r="L336" s="13">
        <f>IF(C336="","",IF(C336&gt;=3,1,0))</f>
        <v/>
      </c>
    </row>
    <row r="337">
      <c r="L337" s="13">
        <f>IF(C337="","",IF(C337&gt;=3,1,0))</f>
        <v/>
      </c>
    </row>
    <row r="338">
      <c r="L338" s="13">
        <f>IF(C338="","",IF(C338&gt;=3,1,0))</f>
        <v/>
      </c>
    </row>
    <row r="339">
      <c r="L339" s="13">
        <f>IF(C339="","",IF(C339&gt;=3,1,0))</f>
        <v/>
      </c>
    </row>
    <row r="340">
      <c r="L340" s="13">
        <f>IF(C340="","",IF(C340&gt;=3,1,0))</f>
        <v/>
      </c>
    </row>
    <row r="341">
      <c r="L341" s="13">
        <f>IF(C341="","",IF(C341&gt;=3,1,0))</f>
        <v/>
      </c>
    </row>
    <row r="342">
      <c r="L342" s="13">
        <f>IF(C342="","",IF(C342&gt;=3,1,0))</f>
        <v/>
      </c>
    </row>
    <row r="343">
      <c r="L343" s="13">
        <f>IF(C343="","",IF(C343&gt;=3,1,0))</f>
        <v/>
      </c>
    </row>
    <row r="344">
      <c r="L344" s="13">
        <f>IF(C344="","",IF(C344&gt;=3,1,0))</f>
        <v/>
      </c>
    </row>
    <row r="345">
      <c r="L345" s="13">
        <f>IF(C345="","",IF(C345&gt;=3,1,0))</f>
        <v/>
      </c>
    </row>
    <row r="346">
      <c r="L346" s="13">
        <f>IF(C346="","",IF(C346&gt;=3,1,0))</f>
        <v/>
      </c>
    </row>
    <row r="347">
      <c r="L347" s="13">
        <f>IF(C347="","",IF(C347&gt;=3,1,0))</f>
        <v/>
      </c>
    </row>
    <row r="348">
      <c r="L348" s="13">
        <f>IF(C348="","",IF(C348&gt;=3,1,0))</f>
        <v/>
      </c>
    </row>
    <row r="349">
      <c r="L349" s="13">
        <f>IF(C349="","",IF(C349&gt;=3,1,0))</f>
        <v/>
      </c>
    </row>
    <row r="350">
      <c r="L350" s="13">
        <f>IF(C350="","",IF(C350&gt;=3,1,0))</f>
        <v/>
      </c>
    </row>
    <row r="351">
      <c r="L351" s="13">
        <f>IF(C351="","",IF(C351&gt;=3,1,0))</f>
        <v/>
      </c>
    </row>
    <row r="352">
      <c r="L352" s="13">
        <f>IF(C352="","",IF(C352&gt;=3,1,0))</f>
        <v/>
      </c>
    </row>
    <row r="353">
      <c r="L353" s="13">
        <f>IF(C353="","",IF(C353&gt;=3,1,0))</f>
        <v/>
      </c>
    </row>
    <row r="354">
      <c r="L354" s="13">
        <f>IF(C354="","",IF(C354&gt;=3,1,0))</f>
        <v/>
      </c>
    </row>
    <row r="355">
      <c r="L355" s="13">
        <f>IF(C355="","",IF(C355&gt;=3,1,0))</f>
        <v/>
      </c>
    </row>
    <row r="356">
      <c r="L356" s="13">
        <f>IF(C356="","",IF(C356&gt;=3,1,0))</f>
        <v/>
      </c>
    </row>
    <row r="357">
      <c r="L357" s="13">
        <f>IF(C357="","",IF(C357&gt;=3,1,0))</f>
        <v/>
      </c>
    </row>
    <row r="358">
      <c r="L358" s="13">
        <f>IF(C358="","",IF(C358&gt;=3,1,0))</f>
        <v/>
      </c>
    </row>
    <row r="359">
      <c r="L359" s="13">
        <f>IF(C359="","",IF(C359&gt;=3,1,0))</f>
        <v/>
      </c>
    </row>
    <row r="360">
      <c r="L360" s="13">
        <f>IF(C360="","",IF(C360&gt;=3,1,0))</f>
        <v/>
      </c>
    </row>
    <row r="361">
      <c r="L361" s="13">
        <f>IF(C361="","",IF(C361&gt;=3,1,0))</f>
        <v/>
      </c>
    </row>
    <row r="362">
      <c r="L362" s="13">
        <f>IF(C362="","",IF(C362&gt;=3,1,0))</f>
        <v/>
      </c>
    </row>
    <row r="363">
      <c r="L363" s="13">
        <f>IF(C363="","",IF(C363&gt;=3,1,0))</f>
        <v/>
      </c>
    </row>
    <row r="364">
      <c r="L364" s="13">
        <f>IF(C364="","",IF(C364&gt;=3,1,0))</f>
        <v/>
      </c>
    </row>
    <row r="365">
      <c r="L365" s="13">
        <f>IF(C365="","",IF(C365&gt;=3,1,0))</f>
        <v/>
      </c>
    </row>
    <row r="366">
      <c r="L366" s="13">
        <f>IF(C366="","",IF(C366&gt;=3,1,0))</f>
        <v/>
      </c>
    </row>
    <row r="367">
      <c r="L367" s="13">
        <f>IF(C367="","",IF(C367&gt;=3,1,0))</f>
        <v/>
      </c>
    </row>
    <row r="368">
      <c r="L368" s="13">
        <f>IF(C368="","",IF(C368&gt;=3,1,0))</f>
        <v/>
      </c>
    </row>
    <row r="369">
      <c r="L369" s="13">
        <f>IF(C369="","",IF(C369&gt;=3,1,0))</f>
        <v/>
      </c>
    </row>
    <row r="370">
      <c r="L370" s="13">
        <f>IF(C370="","",IF(C370&gt;=3,1,0))</f>
        <v/>
      </c>
    </row>
    <row r="371">
      <c r="L371" s="13">
        <f>IF(C371="","",IF(C371&gt;=3,1,0))</f>
        <v/>
      </c>
    </row>
    <row r="372">
      <c r="L372" s="13">
        <f>IF(C372="","",IF(C372&gt;=3,1,0))</f>
        <v/>
      </c>
    </row>
    <row r="373">
      <c r="L373" s="13">
        <f>IF(C373="","",IF(C373&gt;=3,1,0))</f>
        <v/>
      </c>
    </row>
    <row r="374">
      <c r="L374" s="13">
        <f>IF(C374="","",IF(C374&gt;=3,1,0))</f>
        <v/>
      </c>
    </row>
    <row r="375">
      <c r="L375" s="13">
        <f>IF(C375="","",IF(C375&gt;=3,1,0))</f>
        <v/>
      </c>
    </row>
    <row r="376">
      <c r="L376" s="13">
        <f>IF(C376="","",IF(C376&gt;=3,1,0))</f>
        <v/>
      </c>
    </row>
    <row r="377">
      <c r="L377" s="13">
        <f>IF(C377="","",IF(C377&gt;=3,1,0))</f>
        <v/>
      </c>
    </row>
    <row r="378">
      <c r="L378" s="13">
        <f>IF(C378="","",IF(C378&gt;=3,1,0))</f>
        <v/>
      </c>
    </row>
    <row r="379">
      <c r="L379" s="13">
        <f>IF(C379="","",IF(C379&gt;=3,1,0))</f>
        <v/>
      </c>
    </row>
    <row r="380">
      <c r="L380" s="13">
        <f>IF(C380="","",IF(C380&gt;=3,1,0))</f>
        <v/>
      </c>
    </row>
    <row r="381">
      <c r="L381" s="13">
        <f>IF(C381="","",IF(C381&gt;=3,1,0))</f>
        <v/>
      </c>
    </row>
    <row r="382">
      <c r="L382" s="13">
        <f>IF(C382="","",IF(C382&gt;=3,1,0))</f>
        <v/>
      </c>
    </row>
    <row r="383">
      <c r="L383" s="13">
        <f>IF(C383="","",IF(C383&gt;=3,1,0))</f>
        <v/>
      </c>
    </row>
    <row r="384">
      <c r="L384" s="13">
        <f>IF(C384="","",IF(C384&gt;=3,1,0))</f>
        <v/>
      </c>
    </row>
    <row r="385">
      <c r="L385" s="13">
        <f>IF(C385="","",IF(C385&gt;=3,1,0))</f>
        <v/>
      </c>
    </row>
    <row r="386">
      <c r="L386" s="13">
        <f>IF(C386="","",IF(C386&gt;=3,1,0))</f>
        <v/>
      </c>
    </row>
    <row r="387">
      <c r="L387" s="13">
        <f>IF(C387="","",IF(C387&gt;=3,1,0))</f>
        <v/>
      </c>
    </row>
    <row r="388">
      <c r="L388" s="13">
        <f>IF(C388="","",IF(C388&gt;=3,1,0))</f>
        <v/>
      </c>
    </row>
    <row r="389">
      <c r="L389" s="13">
        <f>IF(C389="","",IF(C389&gt;=3,1,0))</f>
        <v/>
      </c>
    </row>
    <row r="390">
      <c r="L390" s="13">
        <f>IF(C390="","",IF(C390&gt;=3,1,0))</f>
        <v/>
      </c>
    </row>
    <row r="391">
      <c r="L391" s="13">
        <f>IF(C391="","",IF(C391&gt;=3,1,0))</f>
        <v/>
      </c>
    </row>
    <row r="392">
      <c r="L392" s="13">
        <f>IF(C392="","",IF(C392&gt;=3,1,0))</f>
        <v/>
      </c>
    </row>
    <row r="393">
      <c r="L393" s="13">
        <f>IF(C393="","",IF(C393&gt;=3,1,0))</f>
        <v/>
      </c>
    </row>
    <row r="394">
      <c r="L394" s="13">
        <f>IF(C394="","",IF(C394&gt;=3,1,0))</f>
        <v/>
      </c>
    </row>
    <row r="395">
      <c r="L395" s="13">
        <f>IF(C395="","",IF(C395&gt;=3,1,0))</f>
        <v/>
      </c>
    </row>
    <row r="396">
      <c r="L396" s="13">
        <f>IF(C396="","",IF(C396&gt;=3,1,0))</f>
        <v/>
      </c>
    </row>
    <row r="397">
      <c r="L397" s="13">
        <f>IF(C397="","",IF(C397&gt;=3,1,0))</f>
        <v/>
      </c>
    </row>
    <row r="398">
      <c r="L398" s="13">
        <f>IF(C398="","",IF(C398&gt;=3,1,0))</f>
        <v/>
      </c>
    </row>
    <row r="399">
      <c r="L399" s="13">
        <f>IF(C399="","",IF(C399&gt;=3,1,0))</f>
        <v/>
      </c>
    </row>
    <row r="400">
      <c r="L400" s="13">
        <f>IF(C400="","",IF(C400&gt;=3,1,0))</f>
        <v/>
      </c>
    </row>
    <row r="401">
      <c r="L401" s="13">
        <f>IF(C401="","",IF(C401&gt;=3,1,0))</f>
        <v/>
      </c>
    </row>
    <row r="402">
      <c r="L402" s="13">
        <f>IF(C402="","",IF(C402&gt;=3,1,0))</f>
        <v/>
      </c>
    </row>
    <row r="403">
      <c r="L403" s="13">
        <f>IF(C403="","",IF(C403&gt;=3,1,0))</f>
        <v/>
      </c>
    </row>
    <row r="404">
      <c r="L404" s="13">
        <f>IF(C404="","",IF(C404&gt;=3,1,0))</f>
        <v/>
      </c>
    </row>
    <row r="405">
      <c r="L405" s="13">
        <f>IF(C405="","",IF(C405&gt;=3,1,0))</f>
        <v/>
      </c>
    </row>
    <row r="406">
      <c r="L406" s="13">
        <f>IF(C406="","",IF(C406&gt;=3,1,0))</f>
        <v/>
      </c>
    </row>
    <row r="407">
      <c r="L407" s="13">
        <f>IF(C407="","",IF(C407&gt;=3,1,0))</f>
        <v/>
      </c>
    </row>
    <row r="408">
      <c r="L408" s="13">
        <f>IF(C408="","",IF(C408&gt;=3,1,0))</f>
        <v/>
      </c>
    </row>
    <row r="409">
      <c r="L409" s="13">
        <f>IF(C409="","",IF(C409&gt;=3,1,0))</f>
        <v/>
      </c>
    </row>
    <row r="410">
      <c r="L410" s="13">
        <f>IF(C410="","",IF(C410&gt;=3,1,0))</f>
        <v/>
      </c>
    </row>
    <row r="411">
      <c r="L411" s="13">
        <f>IF(C411="","",IF(C411&gt;=3,1,0))</f>
        <v/>
      </c>
    </row>
    <row r="412">
      <c r="L412" s="13">
        <f>IF(C412="","",IF(C412&gt;=3,1,0))</f>
        <v/>
      </c>
    </row>
    <row r="413">
      <c r="L413" s="13">
        <f>IF(C413="","",IF(C413&gt;=3,1,0))</f>
        <v/>
      </c>
    </row>
    <row r="414">
      <c r="L414" s="13">
        <f>IF(C414="","",IF(C414&gt;=3,1,0))</f>
        <v/>
      </c>
    </row>
    <row r="415">
      <c r="L415" s="13">
        <f>IF(C415="","",IF(C415&gt;=3,1,0))</f>
        <v/>
      </c>
    </row>
    <row r="416">
      <c r="L416" s="13">
        <f>IF(C416="","",IF(C416&gt;=3,1,0))</f>
        <v/>
      </c>
    </row>
    <row r="417">
      <c r="L417" s="13">
        <f>IF(C417="","",IF(C417&gt;=3,1,0))</f>
        <v/>
      </c>
    </row>
    <row r="418">
      <c r="L418" s="13">
        <f>IF(C418="","",IF(C418&gt;=3,1,0))</f>
        <v/>
      </c>
    </row>
    <row r="419">
      <c r="L419" s="13">
        <f>IF(C419="","",IF(C419&gt;=3,1,0))</f>
        <v/>
      </c>
    </row>
    <row r="420">
      <c r="L420" s="13">
        <f>IF(C420="","",IF(C420&gt;=3,1,0))</f>
        <v/>
      </c>
    </row>
    <row r="421">
      <c r="L421" s="13">
        <f>IF(C421="","",IF(C421&gt;=3,1,0))</f>
        <v/>
      </c>
    </row>
    <row r="422">
      <c r="L422" s="13">
        <f>IF(C422="","",IF(C422&gt;=3,1,0))</f>
        <v/>
      </c>
    </row>
    <row r="423">
      <c r="L423" s="13">
        <f>IF(C423="","",IF(C423&gt;=3,1,0))</f>
        <v/>
      </c>
    </row>
    <row r="424">
      <c r="L424" s="13">
        <f>IF(C424="","",IF(C424&gt;=3,1,0))</f>
        <v/>
      </c>
    </row>
    <row r="425">
      <c r="L425" s="13">
        <f>IF(C425="","",IF(C425&gt;=3,1,0))</f>
        <v/>
      </c>
    </row>
    <row r="426">
      <c r="L426" s="13">
        <f>IF(C426="","",IF(C426&gt;=3,1,0))</f>
        <v/>
      </c>
    </row>
    <row r="427">
      <c r="L427" s="13">
        <f>IF(C427="","",IF(C427&gt;=3,1,0))</f>
        <v/>
      </c>
    </row>
    <row r="428">
      <c r="L428" s="13">
        <f>IF(C428="","",IF(C428&gt;=3,1,0))</f>
        <v/>
      </c>
    </row>
    <row r="429">
      <c r="L429" s="13">
        <f>IF(C429="","",IF(C429&gt;=3,1,0))</f>
        <v/>
      </c>
    </row>
    <row r="430">
      <c r="L430" s="13">
        <f>IF(C430="","",IF(C430&gt;=3,1,0))</f>
        <v/>
      </c>
    </row>
    <row r="431">
      <c r="L431" s="13">
        <f>IF(C431="","",IF(C431&gt;=3,1,0))</f>
        <v/>
      </c>
    </row>
    <row r="432">
      <c r="L432" s="13">
        <f>IF(C432="","",IF(C432&gt;=3,1,0))</f>
        <v/>
      </c>
    </row>
    <row r="433">
      <c r="L433" s="13">
        <f>IF(C433="","",IF(C433&gt;=3,1,0))</f>
        <v/>
      </c>
    </row>
    <row r="434">
      <c r="L434" s="13">
        <f>IF(C434="","",IF(C434&gt;=3,1,0))</f>
        <v/>
      </c>
    </row>
    <row r="435">
      <c r="L435" s="13">
        <f>IF(C435="","",IF(C435&gt;=3,1,0))</f>
        <v/>
      </c>
    </row>
    <row r="436">
      <c r="L436" s="13">
        <f>IF(C436="","",IF(C436&gt;=3,1,0))</f>
        <v/>
      </c>
    </row>
    <row r="437">
      <c r="L437" s="13">
        <f>IF(C437="","",IF(C437&gt;=3,1,0))</f>
        <v/>
      </c>
    </row>
    <row r="438">
      <c r="L438" s="13">
        <f>IF(C438="","",IF(C438&gt;=3,1,0))</f>
        <v/>
      </c>
    </row>
    <row r="439">
      <c r="L439" s="13">
        <f>IF(C439="","",IF(C439&gt;=3,1,0))</f>
        <v/>
      </c>
    </row>
    <row r="440">
      <c r="L440" s="13">
        <f>IF(C440="","",IF(C440&gt;=3,1,0))</f>
        <v/>
      </c>
    </row>
    <row r="441">
      <c r="L441" s="13">
        <f>IF(C441="","",IF(C441&gt;=3,1,0))</f>
        <v/>
      </c>
    </row>
    <row r="442">
      <c r="L442" s="13">
        <f>IF(C442="","",IF(C442&gt;=3,1,0))</f>
        <v/>
      </c>
    </row>
    <row r="443">
      <c r="L443" s="13">
        <f>IF(C443="","",IF(C443&gt;=3,1,0))</f>
        <v/>
      </c>
    </row>
    <row r="444">
      <c r="L444" s="13">
        <f>IF(C444="","",IF(C444&gt;=3,1,0))</f>
        <v/>
      </c>
    </row>
    <row r="445">
      <c r="L445" s="13">
        <f>IF(C445="","",IF(C445&gt;=3,1,0))</f>
        <v/>
      </c>
    </row>
    <row r="446">
      <c r="L446" s="13">
        <f>IF(C446="","",IF(C446&gt;=3,1,0))</f>
        <v/>
      </c>
    </row>
    <row r="447">
      <c r="L447" s="13">
        <f>IF(C447="","",IF(C447&gt;=3,1,0))</f>
        <v/>
      </c>
    </row>
    <row r="448">
      <c r="L448" s="13">
        <f>IF(C448="","",IF(C448&gt;=3,1,0))</f>
        <v/>
      </c>
    </row>
    <row r="449">
      <c r="L449" s="13">
        <f>IF(C449="","",IF(C449&gt;=3,1,0))</f>
        <v/>
      </c>
    </row>
    <row r="450">
      <c r="L450" s="13">
        <f>IF(C450="","",IF(C450&gt;=3,1,0))</f>
        <v/>
      </c>
    </row>
    <row r="451">
      <c r="L451" s="13">
        <f>IF(C451="","",IF(C451&gt;=3,1,0))</f>
        <v/>
      </c>
    </row>
    <row r="452">
      <c r="L452" s="13">
        <f>IF(C452="","",IF(C452&gt;=3,1,0))</f>
        <v/>
      </c>
    </row>
    <row r="453">
      <c r="L453" s="13">
        <f>IF(C453="","",IF(C453&gt;=3,1,0))</f>
        <v/>
      </c>
    </row>
    <row r="454">
      <c r="L454" s="13">
        <f>IF(C454="","",IF(C454&gt;=3,1,0))</f>
        <v/>
      </c>
    </row>
    <row r="455">
      <c r="L455" s="13">
        <f>IF(C455="","",IF(C455&gt;=3,1,0))</f>
        <v/>
      </c>
    </row>
    <row r="456">
      <c r="L456" s="13">
        <f>IF(C456="","",IF(C456&gt;=3,1,0))</f>
        <v/>
      </c>
    </row>
    <row r="457">
      <c r="L457" s="13">
        <f>IF(C457="","",IF(C457&gt;=3,1,0))</f>
        <v/>
      </c>
    </row>
    <row r="458">
      <c r="L458" s="13">
        <f>IF(C458="","",IF(C458&gt;=3,1,0))</f>
        <v/>
      </c>
    </row>
    <row r="459">
      <c r="L459" s="13">
        <f>IF(C459="","",IF(C459&gt;=3,1,0))</f>
        <v/>
      </c>
    </row>
    <row r="460">
      <c r="L460" s="13">
        <f>IF(C460="","",IF(C460&gt;=3,1,0))</f>
        <v/>
      </c>
    </row>
    <row r="461">
      <c r="L461" s="13">
        <f>IF(C461="","",IF(C461&gt;=3,1,0))</f>
        <v/>
      </c>
    </row>
    <row r="462">
      <c r="L462" s="13">
        <f>IF(C462="","",IF(C462&gt;=3,1,0))</f>
        <v/>
      </c>
    </row>
    <row r="463">
      <c r="L463" s="13">
        <f>IF(C463="","",IF(C463&gt;=3,1,0))</f>
        <v/>
      </c>
    </row>
    <row r="464">
      <c r="L464" s="13">
        <f>IF(C464="","",IF(C464&gt;=3,1,0))</f>
        <v/>
      </c>
    </row>
    <row r="465">
      <c r="L465" s="13">
        <f>IF(C465="","",IF(C465&gt;=3,1,0))</f>
        <v/>
      </c>
    </row>
    <row r="466">
      <c r="L466" s="13">
        <f>IF(C466="","",IF(C466&gt;=3,1,0))</f>
        <v/>
      </c>
    </row>
    <row r="467">
      <c r="L467" s="13">
        <f>IF(C467="","",IF(C467&gt;=3,1,0))</f>
        <v/>
      </c>
    </row>
    <row r="468">
      <c r="L468" s="13">
        <f>IF(C468="","",IF(C468&gt;=3,1,0))</f>
        <v/>
      </c>
    </row>
    <row r="469">
      <c r="L469" s="13">
        <f>IF(C469="","",IF(C469&gt;=3,1,0))</f>
        <v/>
      </c>
    </row>
    <row r="470">
      <c r="L470" s="13">
        <f>IF(C470="","",IF(C470&gt;=3,1,0))</f>
        <v/>
      </c>
    </row>
    <row r="471">
      <c r="L471" s="13">
        <f>IF(C471="","",IF(C471&gt;=3,1,0))</f>
        <v/>
      </c>
    </row>
    <row r="472">
      <c r="L472" s="13">
        <f>IF(C472="","",IF(C472&gt;=3,1,0))</f>
        <v/>
      </c>
    </row>
    <row r="473">
      <c r="L473" s="13">
        <f>IF(C473="","",IF(C473&gt;=3,1,0))</f>
        <v/>
      </c>
    </row>
    <row r="474">
      <c r="L474" s="13">
        <f>IF(C474="","",IF(C474&gt;=3,1,0))</f>
        <v/>
      </c>
    </row>
    <row r="475">
      <c r="L475" s="13">
        <f>IF(C475="","",IF(C475&gt;=3,1,0))</f>
        <v/>
      </c>
    </row>
    <row r="476">
      <c r="L476" s="13">
        <f>IF(C476="","",IF(C476&gt;=3,1,0))</f>
        <v/>
      </c>
    </row>
    <row r="477">
      <c r="L477" s="13">
        <f>IF(C477="","",IF(C477&gt;=3,1,0))</f>
        <v/>
      </c>
    </row>
    <row r="478">
      <c r="L478" s="13">
        <f>IF(C478="","",IF(C478&gt;=3,1,0))</f>
        <v/>
      </c>
    </row>
    <row r="479">
      <c r="L479" s="13">
        <f>IF(C479="","",IF(C479&gt;=3,1,0))</f>
        <v/>
      </c>
    </row>
    <row r="480">
      <c r="L480" s="13">
        <f>IF(C480="","",IF(C480&gt;=3,1,0))</f>
        <v/>
      </c>
    </row>
    <row r="481">
      <c r="L481" s="13">
        <f>IF(C481="","",IF(C481&gt;=3,1,0))</f>
        <v/>
      </c>
    </row>
    <row r="482">
      <c r="L482" s="13">
        <f>IF(C482="","",IF(C482&gt;=3,1,0))</f>
        <v/>
      </c>
    </row>
    <row r="483">
      <c r="L483" s="13">
        <f>IF(C483="","",IF(C483&gt;=3,1,0))</f>
        <v/>
      </c>
    </row>
    <row r="484">
      <c r="L484" s="13">
        <f>IF(C484="","",IF(C484&gt;=3,1,0))</f>
        <v/>
      </c>
    </row>
    <row r="485">
      <c r="L485" s="13">
        <f>IF(C485="","",IF(C485&gt;=3,1,0))</f>
        <v/>
      </c>
    </row>
    <row r="486">
      <c r="L486" s="13">
        <f>IF(C486="","",IF(C486&gt;=3,1,0))</f>
        <v/>
      </c>
    </row>
    <row r="487">
      <c r="L487" s="13">
        <f>IF(C487="","",IF(C487&gt;=3,1,0))</f>
        <v/>
      </c>
    </row>
    <row r="488">
      <c r="L488" s="13">
        <f>IF(C488="","",IF(C488&gt;=3,1,0))</f>
        <v/>
      </c>
    </row>
    <row r="489">
      <c r="L489" s="13">
        <f>IF(C489="","",IF(C489&gt;=3,1,0))</f>
        <v/>
      </c>
    </row>
    <row r="490">
      <c r="L490" s="13">
        <f>IF(C490="","",IF(C490&gt;=3,1,0))</f>
        <v/>
      </c>
    </row>
    <row r="491">
      <c r="L491" s="13">
        <f>IF(C491="","",IF(C491&gt;=3,1,0))</f>
        <v/>
      </c>
    </row>
    <row r="492">
      <c r="L492" s="13">
        <f>IF(C492="","",IF(C492&gt;=3,1,0))</f>
        <v/>
      </c>
    </row>
    <row r="493">
      <c r="L493" s="13">
        <f>IF(C493="","",IF(C493&gt;=3,1,0))</f>
        <v/>
      </c>
    </row>
    <row r="494">
      <c r="L494" s="13">
        <f>IF(C494="","",IF(C494&gt;=3,1,0))</f>
        <v/>
      </c>
    </row>
    <row r="495">
      <c r="L495" s="13">
        <f>IF(C495="","",IF(C495&gt;=3,1,0))</f>
        <v/>
      </c>
    </row>
    <row r="496">
      <c r="L496" s="13">
        <f>IF(C496="","",IF(C496&gt;=3,1,0))</f>
        <v/>
      </c>
    </row>
    <row r="497">
      <c r="L497" s="13">
        <f>IF(C497="","",IF(C497&gt;=3,1,0))</f>
        <v/>
      </c>
    </row>
    <row r="498">
      <c r="L498" s="13">
        <f>IF(C498="","",IF(C498&gt;=3,1,0))</f>
        <v/>
      </c>
    </row>
    <row r="499">
      <c r="L499" s="13">
        <f>IF(C499="","",IF(C499&gt;=3,1,0))</f>
        <v/>
      </c>
    </row>
    <row r="500">
      <c r="L500" s="13">
        <f>IF(C500="","",IF(C500&gt;=3,1,0))</f>
        <v/>
      </c>
    </row>
    <row r="501">
      <c r="L501" s="13">
        <f>IF(C501="","",IF(C501&gt;=3,1,0))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12" customWidth="1" min="4" max="4"/>
    <col width="10" customWidth="1" min="5" max="5"/>
    <col width="50" customWidth="1" min="6" max="6"/>
  </cols>
  <sheetData>
    <row r="1" ht="42" customHeight="1">
      <c r="A1" s="4" t="inlineStr">
        <is>
          <t>Gate</t>
        </is>
      </c>
      <c r="B1" s="4" t="inlineStr">
        <is>
          <t>Measure</t>
        </is>
      </c>
      <c r="C1" s="4" t="inlineStr">
        <is>
          <t>Current value</t>
        </is>
      </c>
      <c r="D1" s="4" t="inlineStr">
        <is>
          <t>Threshold</t>
        </is>
      </c>
      <c r="E1" s="4" t="inlineStr">
        <is>
          <t>Status</t>
        </is>
      </c>
      <c r="F1" s="4" t="inlineStr">
        <is>
          <t>Source</t>
        </is>
      </c>
    </row>
    <row r="2">
      <c r="A2" s="11" t="inlineStr">
        <is>
          <t>G0</t>
        </is>
      </c>
      <c r="B2" s="5" t="inlineStr">
        <is>
          <t>Kickstarter identity + NL bank verification passed (type Yes when done)</t>
        </is>
      </c>
      <c r="C2" s="14" t="inlineStr">
        <is>
          <t>No</t>
        </is>
      </c>
      <c r="D2" s="15" t="inlineStr">
        <is>
          <t>Yes</t>
        </is>
      </c>
      <c r="E2" s="5">
        <f>IF(C2=D2,"PASS","FAIL")</f>
        <v/>
      </c>
      <c r="F2" s="5" t="inlineStr">
        <is>
          <t>01 §3.1, K3 (creator resident in NL)</t>
        </is>
      </c>
    </row>
    <row r="3">
      <c r="A3" s="11" t="inlineStr">
        <is>
          <t>G1</t>
        </is>
      </c>
      <c r="B3" s="5" t="inlineStr">
        <is>
          <t>Steam page live + key distribution confirmed (Yes/No)</t>
        </is>
      </c>
      <c r="C3" s="14" t="inlineStr">
        <is>
          <t>No</t>
        </is>
      </c>
      <c r="D3" s="15" t="inlineStr">
        <is>
          <t>Yes</t>
        </is>
      </c>
      <c r="E3" s="5">
        <f>IF(C3=D3,"PASS","FAIL")</f>
        <v/>
      </c>
      <c r="F3" s="5" t="inlineStr">
        <is>
          <t>S3</t>
        </is>
      </c>
    </row>
    <row r="4">
      <c r="A4" s="11" t="inlineStr">
        <is>
          <t>G2</t>
        </is>
      </c>
      <c r="B4" s="5" t="inlineStr">
        <is>
          <t>Cumulative net wishlists</t>
        </is>
      </c>
      <c r="C4" s="7">
        <f>MAX('Weekly KPIs'!G2:G31)</f>
        <v/>
      </c>
      <c r="D4" s="12" t="n">
        <v>7500</v>
      </c>
      <c r="E4" s="5">
        <f>IF(C4&gt;=D4,"PASS","FAIL")</f>
        <v/>
      </c>
      <c r="F4" s="5" t="inlineStr">
        <is>
          <t>02 §9</t>
        </is>
      </c>
    </row>
    <row r="5">
      <c r="A5" s="11" t="inlineStr">
        <is>
          <t>G3</t>
        </is>
      </c>
      <c r="B5" s="5" t="inlineStr">
        <is>
          <t>Expected backers from direct list = followers×0.20 + email×0.04</t>
        </is>
      </c>
      <c r="C5" s="7">
        <f>MAX('Weekly KPIs'!J2:J31)*0.2+MAX('Weekly KPIs'!I2:I31)*0.04</f>
        <v/>
      </c>
      <c r="D5" s="12" t="n">
        <v>224</v>
      </c>
      <c r="E5" s="5">
        <f>IF(C5&gt;=D5,"PASS","FAIL")</f>
        <v/>
      </c>
      <c r="F5" s="5" t="inlineStr">
        <is>
          <t>03 Backer Funnel (MVD v2; ≈1,120 KS followers at 20%)</t>
        </is>
      </c>
    </row>
    <row r="6">
      <c r="A6" s="11" t="inlineStr">
        <is>
          <t>G4a</t>
        </is>
      </c>
      <c r="B6" s="5" t="inlineStr">
        <is>
          <t>Share 'Yes' at €12.99 among respondents with 3+ rounds</t>
        </is>
      </c>
      <c r="C6" s="9">
        <f>IF(SUM('Playtest Survey'!L2:L501)=0,0,COUNTIFS('Playtest Survey'!C2:C501,"&gt;=3",'Playtest Survey'!F2:F501,"Yes")/SUM('Playtest Survey'!L2:L501))</f>
        <v/>
      </c>
      <c r="D6" s="16" t="n">
        <v>0.4</v>
      </c>
      <c r="E6" s="5">
        <f>IF(C6&gt;=D6,"PASS","FAIL")</f>
        <v/>
      </c>
      <c r="F6" s="5" t="inlineStr">
        <is>
          <t>02 §7 H3</t>
        </is>
      </c>
    </row>
    <row r="7">
      <c r="A7" s="11" t="inlineStr">
        <is>
          <t>G4b</t>
        </is>
      </c>
      <c r="B7" s="5" t="inlineStr">
        <is>
          <t>Group return rate (all weeks)</t>
        </is>
      </c>
      <c r="C7" s="9">
        <f>IF(SUM('Weekly KPIs'!N2:N31)=0,0,SUM('Weekly KPIs'!O2:O31)/SUM('Weekly KPIs'!N2:N31))</f>
        <v/>
      </c>
      <c r="D7" s="16" t="n">
        <v>0.3</v>
      </c>
      <c r="E7" s="5">
        <f>IF(C7&gt;=D7,"PASS","FAIL")</f>
        <v/>
      </c>
      <c r="F7" s="5" t="inlineStr">
        <is>
          <t>02 §7 H2</t>
        </is>
      </c>
    </row>
    <row r="8">
      <c r="A8" s="11" t="inlineStr">
        <is>
          <t>G4c</t>
        </is>
      </c>
      <c r="B8" s="5" t="inlineStr">
        <is>
          <t>Open critical bugs (type the count)</t>
        </is>
      </c>
      <c r="C8" s="17" t="n">
        <v>1</v>
      </c>
      <c r="D8" s="12" t="n">
        <v>0</v>
      </c>
      <c r="E8" s="5">
        <f>IF(C8&lt;=D8,"PASS","FAIL")</f>
        <v/>
      </c>
      <c r="F8" s="5" t="inlineStr">
        <is>
          <t>00 §4</t>
        </is>
      </c>
    </row>
    <row r="9">
      <c r="A9" s="11" t="inlineStr">
        <is>
          <t>G5</t>
        </is>
      </c>
      <c r="B9" s="5" t="inlineStr">
        <is>
          <t>Team hours confirmed through Q4 2027 (Yes/No)</t>
        </is>
      </c>
      <c r="C9" s="14" t="inlineStr">
        <is>
          <t>No</t>
        </is>
      </c>
      <c r="D9" s="15" t="inlineStr">
        <is>
          <t>Yes</t>
        </is>
      </c>
      <c r="E9" s="5">
        <f>IF(C9=D9,"PASS","FAIL")</f>
        <v/>
      </c>
      <c r="F9" s="5" t="inlineStr">
        <is>
          <t>03</t>
        </is>
      </c>
    </row>
    <row r="11">
      <c r="B11" s="11" t="inlineStr">
        <is>
          <t>ALL GATES</t>
        </is>
      </c>
      <c r="E11" s="18">
        <f>IF(COUNTIF(E2:E9,"PASS")=8,"GO","NO-GO")</f>
        <v/>
      </c>
    </row>
  </sheetData>
  <conditionalFormatting sqref="E2:E11">
    <cfRule type="cellIs" priority="1" operator="equal" dxfId="0">
      <formula>"PASS"</formula>
    </cfRule>
    <cfRule type="cellIs" priority="2" operator="equal" dxfId="0">
      <formula>"GO"</formula>
    </cfRule>
    <cfRule type="cellIs" priority="3" operator="equal" dxfId="1">
      <formula>"FAIL"</formula>
    </cfRule>
    <cfRule type="cellIs" priority="4" operator="equal" dxfId="1">
      <formula>"NO-GO"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2026-10-20T16:04:34Z</dcterms:created>
  <dcterms:modified xsi:type="dcterms:W3CDTF">2026-10-20T16:04:34Z</dcterms:modified>
</cp:coreProperties>
</file>