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Labor" sheetId="3" state="visible" r:id="rId3"/>
    <sheet name="Costs" sheetId="4" state="visible" r:id="rId4"/>
    <sheet name="Rewards" sheetId="5" state="visible" r:id="rId5"/>
    <sheet name="Scenarios" sheetId="6" state="visible" r:id="rId6"/>
    <sheet name="Sensitivity" sheetId="7" state="visible" r:id="rId7"/>
    <sheet name="Backer Funn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;(0.0%);&quot;-&quot;"/>
    <numFmt numFmtId="165" formatCode="€#,##0.00;(€#,##0.00);&quot;-&quot;"/>
    <numFmt numFmtId="166" formatCode="€#,##0;(€#,##0);&quot;-&quot;"/>
    <numFmt numFmtId="167" formatCode="#,##0;(#,##0);&quot;-&quot;"/>
    <numFmt numFmtId="168" formatCode="0.0;(0.0);&quot;-&quot;"/>
    <numFmt numFmtId="169" formatCode="0.00&quot;x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color rgb="000000FF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0B3B52"/>
      </patternFill>
    </fill>
    <fill>
      <patternFill patternType="solid">
        <fgColor rgb="00FFFF00"/>
      </patternFill>
    </fill>
    <fill>
      <patternFill patternType="solid">
        <fgColor rgb="00DDEF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3" borderId="0" pivotButton="0" quotePrefix="0" xfId="0"/>
    <xf numFmtId="164" fontId="5" fillId="3" borderId="0" pivotButton="0" quotePrefix="0" xfId="0"/>
    <xf numFmtId="0" fontId="5" fillId="0" borderId="0" pivotButton="0" quotePrefix="0" xfId="0"/>
    <xf numFmtId="165" fontId="5" fillId="3" borderId="0" pivotButton="0" quotePrefix="0" xfId="0"/>
    <xf numFmtId="1" fontId="5" fillId="0" borderId="0" pivotButton="0" quotePrefix="0" xfId="0"/>
    <xf numFmtId="166" fontId="5" fillId="3" borderId="0" pivotButton="0" quotePrefix="0" xfId="0"/>
    <xf numFmtId="167" fontId="5" fillId="3" borderId="0" pivotButton="0" quotePrefix="0" xfId="0"/>
    <xf numFmtId="167" fontId="5" fillId="0" borderId="0" pivotButton="0" quotePrefix="0" xfId="0"/>
    <xf numFmtId="0" fontId="3" fillId="0" borderId="0" pivotButton="0" quotePrefix="0" xfId="0"/>
    <xf numFmtId="167" fontId="3" fillId="4" borderId="0" pivotButton="0" quotePrefix="0" xfId="0"/>
    <xf numFmtId="167" fontId="6" fillId="0" borderId="0" pivotButton="0" quotePrefix="0" xfId="0"/>
    <xf numFmtId="166" fontId="2" fillId="0" borderId="0" pivotButton="0" quotePrefix="0" xfId="0"/>
    <xf numFmtId="166" fontId="3" fillId="4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top" wrapText="1"/>
    </xf>
    <xf numFmtId="164" fontId="3" fillId="4" borderId="0" pivotButton="0" quotePrefix="0" xfId="0"/>
    <xf numFmtId="165" fontId="3" fillId="4" borderId="0" pivotButton="0" quotePrefix="0" xfId="0"/>
    <xf numFmtId="2" fontId="3" fillId="4" borderId="0" pivotButton="0" quotePrefix="0" xfId="0"/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67" fontId="6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6" fontId="5" fillId="3" borderId="0" applyAlignment="1" pivotButton="0" quotePrefix="0" xfId="0">
      <alignment vertical="center" wrapText="1"/>
    </xf>
    <xf numFmtId="164" fontId="5" fillId="3" borderId="0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166" fontId="6" fillId="0" borderId="0" applyAlignment="1" pivotButton="0" quotePrefix="0" xfId="0">
      <alignment vertical="center" wrapText="1"/>
    </xf>
    <xf numFmtId="166" fontId="3" fillId="4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67" fontId="3" fillId="0" borderId="0" applyAlignment="1" pivotButton="0" quotePrefix="0" xfId="0">
      <alignment vertical="center" wrapText="1"/>
    </xf>
    <xf numFmtId="167" fontId="2" fillId="0" borderId="0" applyAlignment="1" pivotButton="0" quotePrefix="0" xfId="0">
      <alignment vertical="center" wrapText="1"/>
    </xf>
    <xf numFmtId="168" fontId="2" fillId="0" borderId="0" applyAlignment="1" pivotButton="0" quotePrefix="0" xfId="0">
      <alignment vertical="center" wrapText="1"/>
    </xf>
    <xf numFmtId="0" fontId="1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9" fontId="5" fillId="0" borderId="0" pivotButton="0" quotePrefix="0" xfId="0"/>
    <xf numFmtId="166" fontId="6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REEF RUN — Kickstarter funding model</t>
        </is>
      </c>
    </row>
    <row r="2">
      <c r="A2" s="2" t="inlineStr">
        <is>
          <t>Built 2026-10-17 by tools/build_funding_model.py. Campaign currency: EUR (creator resident in the Netherlands). Costs quoted in USD (Steam fee, US entity) are converted with the FX input.</t>
        </is>
      </c>
    </row>
    <row r="3">
      <c r="A3" s="2" t="inlineStr"/>
    </row>
    <row r="4">
      <c r="A4" s="3" t="inlineStr">
        <is>
          <t>COLOUR LEGEND</t>
        </is>
      </c>
    </row>
    <row r="5">
      <c r="A5" s="2" t="inlineStr">
        <is>
          <t>Blue text = an input you may edit.  Yellow fill = a key assumption that is NOT verified — check it first.  Black = formula (do not overwrite).  Green = pulled from another sheet.</t>
        </is>
      </c>
    </row>
    <row r="6">
      <c r="A6" s="2" t="inlineStr"/>
    </row>
    <row r="7">
      <c r="A7" s="3" t="inlineStr">
        <is>
          <t>HOW TO USE</t>
        </is>
      </c>
    </row>
    <row r="8">
      <c r="A8" s="2" t="inlineStr">
        <is>
          <t>1. Inputs: platform fees (verified 2026-10-17, kickstarter.com/help/fees), FX, drop rate, tax reserve, entity route, conversion rates.</t>
        </is>
      </c>
    </row>
    <row r="9">
      <c r="A9" s="2" t="inlineStr">
        <is>
          <t>2. Labor: remaining work packages in hours per scenario (MVD / Realistic / Expanded). Edit hours as the team re-estimates.</t>
        </is>
      </c>
    </row>
    <row r="10">
      <c r="A10" s="2" t="inlineStr">
        <is>
          <t>3. Costs: every non-labor cash cost per scenario, with source or reasoning. Founder labor is NOT here — it is on Scenarios as stipend (cash) and as unpaid value (not cash).</t>
        </is>
      </c>
    </row>
    <row r="11">
      <c r="A11" s="2" t="inlineStr">
        <is>
          <t>4. Rewards: tier prices, expected mix of backers, fulfilment cost and fees → blended average pledge and effective fees used by Scenarios.</t>
        </is>
      </c>
    </row>
    <row r="12">
      <c r="A12" s="2" t="inlineStr">
        <is>
          <t>5. Scenarios: budget → funding goal (grossed up for fees, failed payments, tax reserve and fulfilment) → net proceeds, backers needed, timeline.</t>
        </is>
      </c>
    </row>
    <row r="13">
      <c r="A13" s="2" t="inlineStr">
        <is>
          <t>6. Sensitivity and Backer Funnel: how goals and audience needs move with pledge size, cost overruns and conversion.</t>
        </is>
      </c>
    </row>
    <row r="14">
      <c r="A14" s="2" t="inlineStr"/>
    </row>
    <row r="15">
      <c r="A15" s="3" t="inlineStr">
        <is>
          <t>GOAL FORMULA</t>
        </is>
      </c>
    </row>
    <row r="16">
      <c r="A16" s="2" t="inlineStr">
        <is>
          <t>Goal = Budget ÷ (1 − Kickstarter fee − effective processing % − failed-payment rate − tax reserve − VAT inside pledges − (fixed fee per pledge + fulfilment per backer) ÷ average pledge), rounded up to the next €500.</t>
        </is>
      </c>
    </row>
    <row r="17">
      <c r="A17" s="2" t="inlineStr">
        <is>
          <t>This is the amount at which, funded at exactly 100%, the team still receives the full budget after every deduction (Kickstarter guidance, help article 16236709).</t>
        </is>
      </c>
    </row>
    <row r="18">
      <c r="A18" s="2" t="inlineStr"/>
    </row>
    <row r="19">
      <c r="A19" s="3" t="inlineStr">
        <is>
          <t>WHAT THIS MODEL DOES NOT DO</t>
        </is>
      </c>
    </row>
    <row r="20">
      <c r="A20" s="2" t="inlineStr">
        <is>
          <t>It is not tax or legal advice. Dutch income tax, VAT (btw) on reward pledges and KvK registration depend on your situation — get an accountant (budgeted on Costs).</t>
        </is>
      </c>
    </row>
    <row r="21">
      <c r="A21" s="2" t="inlineStr">
        <is>
          <t>Steam revenue after launch is not modelled; the campaign must fund delivery on its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90" customWidth="1" min="4" max="4"/>
  </cols>
  <sheetData>
    <row r="1" ht="30" customHeight="1">
      <c r="A1" s="4" t="inlineStr">
        <is>
          <t>Input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Source / reasoning</t>
        </is>
      </c>
    </row>
    <row r="2" ht="30" customHeight="1">
      <c r="A2" s="5" t="inlineStr">
        <is>
          <t>Kickstarter platform fee</t>
        </is>
      </c>
      <c r="B2" s="6" t="n">
        <v>0.05</v>
      </c>
      <c r="C2" s="5" t="inlineStr">
        <is>
          <t>% of funds</t>
        </is>
      </c>
      <c r="D2" s="2" t="inlineStr">
        <is>
          <t>Verified 2026-10-17: kickstarter.com/help/fees (5% of total funds raised).</t>
        </is>
      </c>
    </row>
    <row r="3" ht="30" customHeight="1">
      <c r="A3" s="5" t="inlineStr">
        <is>
          <t>Payment processing — percentage (pledges ≥ €10)</t>
        </is>
      </c>
      <c r="B3" s="6" t="n">
        <v>0.03</v>
      </c>
      <c r="C3" s="5" t="inlineStr">
        <is>
          <t>% of pledge</t>
        </is>
      </c>
      <c r="D3" s="2" t="inlineStr">
        <is>
          <t>Verified 2026-10-17: kickstarter.com/help/fees (Netherlands) — 3% + €0.30 per pledge.</t>
        </is>
      </c>
    </row>
    <row r="4" ht="30" customHeight="1">
      <c r="A4" s="5" t="inlineStr">
        <is>
          <t>Payment processing — fixed per pledge (≥ €10)</t>
        </is>
      </c>
      <c r="B4" s="7" t="n">
        <v>0.3</v>
      </c>
      <c r="C4" s="5" t="inlineStr">
        <is>
          <t>EUR/pledge</t>
        </is>
      </c>
      <c r="D4" s="2" t="inlineStr">
        <is>
          <t>Verified 2026-10-17: kickstarter.com/help/fees (Netherlands) — 3% + €0.30 per pledge.</t>
        </is>
      </c>
    </row>
    <row r="5" ht="30" customHeight="1">
      <c r="A5" s="5" t="inlineStr">
        <is>
          <t>Micropledge processing % (pledges &lt; €10)</t>
        </is>
      </c>
      <c r="B5" s="6" t="n">
        <v>0.05</v>
      </c>
      <c r="C5" s="5" t="inlineStr">
        <is>
          <t>% of pledge</t>
        </is>
      </c>
      <c r="D5" s="2" t="inlineStr">
        <is>
          <t>Verified 2026-10-17 (Netherlands): 'Pledges under €10 have a discounted micropledge fee of 5% + €0.08'.</t>
        </is>
      </c>
    </row>
    <row r="6" ht="30" customHeight="1">
      <c r="A6" s="5" t="inlineStr">
        <is>
          <t>Micropledge fixed per pledge (&lt; €10)</t>
        </is>
      </c>
      <c r="B6" s="7" t="n">
        <v>0.08</v>
      </c>
      <c r="C6" s="5" t="inlineStr">
        <is>
          <t>EUR/pledge</t>
        </is>
      </c>
      <c r="D6" s="2" t="inlineStr">
        <is>
          <t>Verified 2026-10-17 (same page).</t>
        </is>
      </c>
    </row>
    <row r="7" ht="30" customHeight="1">
      <c r="A7" s="5" t="inlineStr">
        <is>
          <t>Micropledge threshold</t>
        </is>
      </c>
      <c r="B7" s="8" t="n">
        <v>10</v>
      </c>
      <c r="C7" s="5" t="inlineStr">
        <is>
          <t>EUR</t>
        </is>
      </c>
      <c r="D7" s="2" t="inlineStr">
        <is>
          <t>Verified 2026-10-17 (same page).</t>
        </is>
      </c>
    </row>
    <row r="8" ht="30" customHeight="1">
      <c r="A8" s="5" t="inlineStr">
        <is>
          <t>FX: USD per 1 EUR</t>
        </is>
      </c>
      <c r="B8" s="9" t="n">
        <v>1.15</v>
      </c>
      <c r="C8" s="5" t="inlineStr">
        <is>
          <t>USD/EUR</t>
        </is>
      </c>
      <c r="D8" s="2" t="inlineStr">
        <is>
          <t>ASSUMPTION — only converts costs quoted in USD (Steam fee). Check the current rate.</t>
        </is>
      </c>
    </row>
    <row r="9" ht="30" customHeight="1">
      <c r="A9" s="5" t="inlineStr">
        <is>
          <t>Failed / dropped payments</t>
        </is>
      </c>
      <c r="B9" s="10" t="n">
        <v>0.03</v>
      </c>
      <c r="C9" s="5" t="inlineStr">
        <is>
          <t>% of pledged</t>
        </is>
      </c>
      <c r="D9" s="2" t="inlineStr">
        <is>
          <t>ASSUMPTION — some pledges fail at card charge; Kickstarter retries for 7 days. No official rate published; 2–5% is a common planning range.</t>
        </is>
      </c>
    </row>
    <row r="10" ht="30" customHeight="1">
      <c r="A10" s="5" t="inlineStr">
        <is>
          <t>Campaign currency (text, informational)</t>
        </is>
      </c>
      <c r="B10" s="11" t="inlineStr">
        <is>
          <t>EUR</t>
        </is>
      </c>
      <c r="C10" s="5" t="inlineStr"/>
      <c r="D10" s="2" t="inlineStr">
        <is>
          <t>Creator resident in the Netherlands (stated 2026-10-17): an individual NL project raises in EUR (help article 16236650).</t>
        </is>
      </c>
    </row>
    <row r="11" ht="30" customHeight="1">
      <c r="A11" s="5" t="inlineStr">
        <is>
          <t>Tax &amp; compliance reserve</t>
        </is>
      </c>
      <c r="B11" s="10" t="n">
        <v>0.05</v>
      </c>
      <c r="C11" s="5" t="inlineStr">
        <is>
          <t>% of pledged</t>
        </is>
      </c>
      <c r="D11" s="2" t="inlineStr">
        <is>
          <t>ASSUMPTION — Dutch income tax on the part of the funds that ends up as the creator's own profit, plus filing surprises. Replace with an accountant's figure.</t>
        </is>
      </c>
    </row>
    <row r="12" ht="30" customHeight="1">
      <c r="A12" s="5" t="inlineStr">
        <is>
          <t>Share of pledges from EU consumers (VAT due inside the pledge)</t>
        </is>
      </c>
      <c r="B12" s="10" t="n">
        <v>0.35</v>
      </c>
      <c r="C12" s="5" t="inlineStr">
        <is>
          <t>% of pledged</t>
        </is>
      </c>
      <c r="D12" s="2" t="inlineStr">
        <is>
          <t>ASSUMPTION — reward pledges with a direct counter-performance are a VAT-taxable supply under the Dutch view (moore-drv.nl, taxlive.nl; verify with belastingdienst.nl). Kickstarter's automatic VAT handling targets shipped goods, so a Dutch creator of digital rewards is the responsible party. Set to 0 if the Pledge Manager collects VAT on top of pledges.</t>
        </is>
      </c>
    </row>
    <row r="13" ht="30" customHeight="1">
      <c r="A13" s="5" t="inlineStr">
        <is>
          <t>VAT rate assumed (NL standard rate)</t>
        </is>
      </c>
      <c r="B13" s="10" t="n">
        <v>0.21</v>
      </c>
      <c r="C13" s="5" t="inlineStr">
        <is>
          <t>%</t>
        </is>
      </c>
      <c r="D13" s="2" t="inlineStr">
        <is>
          <t>21% NL standard rate. Cross-border EU consumer sales above €10k/yr use the backer's country rate (OSS) — similar range. Small-business scheme (KOR) may exempt below €20k turnover — ask the accountant.</t>
        </is>
      </c>
    </row>
    <row r="14" ht="30" customHeight="1">
      <c r="A14" s="5" t="inlineStr">
        <is>
          <t>Fulfilment cost per backer (digital)</t>
        </is>
      </c>
      <c r="B14" s="12" t="n">
        <v>0.1</v>
      </c>
      <c r="C14" s="5" t="inlineStr">
        <is>
          <t>EUR/backer</t>
        </is>
      </c>
      <c r="D14" s="2" t="inlineStr">
        <is>
          <t>ASSUMPTION — Steam keys and Kickstarter Pledge Manager digital delivery cost nothing per key; this covers email-tool overage and support time outside the labor plan.</t>
        </is>
      </c>
    </row>
    <row r="15" ht="30" customHeight="1">
      <c r="A15" s="5" t="inlineStr">
        <is>
          <t>Entity route: 1 = US company via Stripe Atlas, 0 = an eligible resident launches</t>
        </is>
      </c>
      <c r="B15" s="13" t="n">
        <v>0</v>
      </c>
      <c r="C15" s="5" t="inlineStr">
        <is>
          <t>flag</t>
        </is>
      </c>
      <c r="D15" s="2" t="inlineStr">
        <is>
          <t>0: the creator is resident in the Netherlands, an eligible country (stated 2026-10-17). US-company lines then cost nothing.</t>
        </is>
      </c>
    </row>
    <row r="16" ht="30" customHeight="1">
      <c r="A16" s="5" t="inlineStr">
        <is>
          <t>Stripe Atlas incorporation (one-time)</t>
        </is>
      </c>
      <c r="B16" s="14" t="n">
        <v>500</v>
      </c>
      <c r="C16" s="5" t="inlineStr">
        <is>
          <t>USD</t>
        </is>
      </c>
      <c r="D16" s="2" t="inlineStr">
        <is>
          <t>Secondary sources (rho.co, unilink.us, 2026): $500 one-time incl. year-1 registered agent. Verify at stripe.com/atlas.</t>
        </is>
      </c>
    </row>
    <row r="17" ht="30" customHeight="1">
      <c r="A17" s="5" t="inlineStr">
        <is>
          <t>US registered agent renewal (year 2)</t>
        </is>
      </c>
      <c r="B17" s="14" t="n">
        <v>100</v>
      </c>
      <c r="C17" s="5" t="inlineStr">
        <is>
          <t>USD/yr</t>
        </is>
      </c>
      <c r="D17" s="2" t="inlineStr">
        <is>
          <t>Secondary sources: $100/yr after year 1.</t>
        </is>
      </c>
    </row>
    <row r="18" ht="30" customHeight="1">
      <c r="A18" s="5" t="inlineStr">
        <is>
          <t>US state annual tax / franchise tax</t>
        </is>
      </c>
      <c r="B18" s="14" t="n">
        <v>300</v>
      </c>
      <c r="C18" s="5" t="inlineStr">
        <is>
          <t>USD/yr</t>
        </is>
      </c>
      <c r="D18" s="2" t="inlineStr">
        <is>
          <t>Secondary source (unilink.us): ~$300/yr (Delaware). Depends on entity type — verify.</t>
        </is>
      </c>
    </row>
    <row r="19" ht="30" customHeight="1">
      <c r="A19" s="5" t="inlineStr">
        <is>
          <t>US tax filings by an accountant (foreign-owned company)</t>
        </is>
      </c>
      <c r="B19" s="14" t="n">
        <v>600</v>
      </c>
      <c r="C19" s="5" t="inlineStr">
        <is>
          <t>USD/yr</t>
        </is>
      </c>
      <c r="D19" s="2" t="inlineStr">
        <is>
          <t>ASSUMPTION — foreign-owned US companies have annual federal information returns; get a quote.</t>
        </is>
      </c>
    </row>
    <row r="20" ht="30" customHeight="1">
      <c r="A20" s="5" t="inlineStr">
        <is>
          <t>Dutch accountant: income-tax return + VAT returns</t>
        </is>
      </c>
      <c r="B20" s="14" t="n">
        <v>900</v>
      </c>
      <c r="C20" s="5" t="inlineStr">
        <is>
          <t>EUR</t>
        </is>
      </c>
      <c r="D20" s="2" t="inlineStr">
        <is>
          <t>ASSUMPTION — get a quote; covers the campaign year.</t>
        </is>
      </c>
    </row>
    <row r="21" ht="30" customHeight="1">
      <c r="A21" s="5" t="inlineStr">
        <is>
          <t>KvK (Chamber of Commerce) registration, if you register as a business</t>
        </is>
      </c>
      <c r="B21" s="14" t="n">
        <v>85</v>
      </c>
      <c r="C21" s="5" t="inlineStr">
        <is>
          <t>EUR</t>
        </is>
      </c>
      <c r="D21" s="2" t="inlineStr">
        <is>
          <t>ASSUMPTION — one-off KvK fee; check kvk.nl. Likely needed: receiving reward pledges is business activity under the Dutch view.</t>
        </is>
      </c>
    </row>
    <row r="22" ht="30" customHeight="1">
      <c r="A22" s="5" t="inlineStr">
        <is>
          <t>Steam Direct fee (own App ID)</t>
        </is>
      </c>
      <c r="B22" s="8" t="n">
        <v>100</v>
      </c>
      <c r="C22" s="5" t="inlineStr">
        <is>
          <t>USD</t>
        </is>
      </c>
      <c r="D22" s="2" t="inlineStr">
        <is>
          <t>Verified 2026-10-17: partner.steamgames.com/doc/gettingstarted/appfee — $100, recoupable after $1,000 revenue.</t>
        </is>
      </c>
    </row>
    <row r="23" ht="30" customHeight="1">
      <c r="A23" s="5" t="inlineStr">
        <is>
          <t>Contingency on development budget</t>
        </is>
      </c>
      <c r="B23" s="10" t="n">
        <v>0.15</v>
      </c>
      <c r="C23" s="5" t="inlineStr">
        <is>
          <t>%</t>
        </is>
      </c>
      <c r="D23" s="2" t="inlineStr">
        <is>
          <t>ASSUMPTION — 15% is a conventional minimum for small software projects; Carnival Hunt (KS 2023) shipped 2 years late, so do not lower this.</t>
        </is>
      </c>
    </row>
    <row r="24" ht="30" customHeight="1">
      <c r="A24" s="5" t="inlineStr">
        <is>
          <t>Team capacity, hours per week (all members)</t>
        </is>
      </c>
      <c r="B24" s="15" t="n">
        <v>60</v>
      </c>
      <c r="C24" s="5" t="inlineStr">
        <is>
          <t>h/week</t>
        </is>
      </c>
      <c r="D24" s="2" t="inlineStr">
        <is>
          <t>ASSUMPTION — 2 developers × 30 h. Confirm with the team (NEXT_ACTIONS).</t>
        </is>
      </c>
    </row>
    <row r="25" ht="30" customHeight="1">
      <c r="A25" s="5" t="inlineStr">
        <is>
          <t>Market value of founder time (for unpaid-labor disclosure only)</t>
        </is>
      </c>
      <c r="B25" s="14" t="n">
        <v>30</v>
      </c>
      <c r="C25" s="5" t="inlineStr">
        <is>
          <t>EUR/h</t>
        </is>
      </c>
      <c r="D25" s="2" t="inlineStr">
        <is>
          <t>ASSUMPTION — freelance Unity developer rate in Eastern Europe; used only to show the value of unpaid work, never in the goal.</t>
        </is>
      </c>
    </row>
    <row r="26" ht="30" customHeight="1">
      <c r="A26" s="5" t="inlineStr">
        <is>
          <t>Share of backers coming from pre-launch followers + email</t>
        </is>
      </c>
      <c r="B26" s="10" t="n">
        <v>0.6</v>
      </c>
      <c r="C26" s="5" t="inlineStr">
        <is>
          <t>%</t>
        </is>
      </c>
      <c r="D26" s="2" t="inlineStr">
        <is>
          <t>ASSUMPTION — first-time creators get little Kickstarter discovery; see 02 §8.</t>
        </is>
      </c>
    </row>
    <row r="27" ht="30" customHeight="1">
      <c r="A27" s="5" t="inlineStr">
        <is>
          <t>Pre-launch follower → backer conversion (low)</t>
        </is>
      </c>
      <c r="B27" s="10" t="n">
        <v>0.1</v>
      </c>
      <c r="C27" s="5" t="inlineStr">
        <is>
          <t>%</t>
        </is>
      </c>
      <c r="D27" s="2" t="inlineStr">
        <is>
          <t>Range from secondary sources (02 §8, SOURCES M7): 8–11% planning rate (Botany case study).</t>
        </is>
      </c>
    </row>
    <row r="28" ht="30" customHeight="1">
      <c r="A28" s="5" t="inlineStr">
        <is>
          <t>Pre-launch follower → backer conversion (mid)</t>
        </is>
      </c>
      <c r="B28" s="10" t="n">
        <v>0.2</v>
      </c>
      <c r="C28" s="5" t="inlineStr">
        <is>
          <t>%</t>
        </is>
      </c>
      <c r="D28" s="2" t="inlineStr">
        <is>
          <t>Midpoint assumption.</t>
        </is>
      </c>
    </row>
    <row r="29" ht="30" customHeight="1">
      <c r="A29" s="5" t="inlineStr">
        <is>
          <t>Pre-launch follower → backer conversion (high)</t>
        </is>
      </c>
      <c r="B29" s="10" t="n">
        <v>0.3</v>
      </c>
      <c r="C29" s="5" t="inlineStr">
        <is>
          <t>%</t>
        </is>
      </c>
      <c r="D29" s="2" t="inlineStr">
        <is>
          <t>~31% average quoted by a Kickstarter outreach lead for comics (SOURCES M7) — not games.</t>
        </is>
      </c>
    </row>
    <row r="30" ht="30" customHeight="1">
      <c r="A30" s="5" t="inlineStr">
        <is>
          <t>Email subscriber → backer conversion</t>
        </is>
      </c>
      <c r="B30" s="10" t="n">
        <v>0.04</v>
      </c>
      <c r="C30" s="5" t="inlineStr">
        <is>
          <t>%</t>
        </is>
      </c>
      <c r="D30" s="2" t="inlineStr">
        <is>
          <t>ASSUMPTION — Botany case study planned 1–3% for email lists; a playtest-engaged list should do better.</t>
        </is>
      </c>
    </row>
    <row r="31" ht="30" customHeight="1">
      <c r="A31" s="5" t="inlineStr">
        <is>
          <t>Steam wishlist → Kickstarter backer</t>
        </is>
      </c>
      <c r="B31" s="10" t="n">
        <v>0.03</v>
      </c>
      <c r="C31" s="5" t="inlineStr">
        <is>
          <t>%</t>
        </is>
      </c>
      <c r="D31" s="2" t="inlineStr">
        <is>
          <t>ASSUMPTION — no public data found. Used only as a rough proxy.</t>
        </is>
      </c>
    </row>
    <row r="32" ht="30" customHeight="1">
      <c r="A32" s="5" t="inlineStr">
        <is>
          <t>Steam beta (Release State Override) key cap for crowdfunding</t>
        </is>
      </c>
      <c r="B32" s="16" t="n">
        <v>2500</v>
      </c>
      <c r="C32" s="5" t="inlineStr">
        <is>
          <t>keys</t>
        </is>
      </c>
      <c r="D32" s="2" t="inlineStr">
        <is>
          <t>Verified 2026-10-17: partner.steamgames.com/doc/features/keys — 'generally 2,500 total'.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90" customWidth="1" min="5" max="5"/>
  </cols>
  <sheetData>
    <row r="1">
      <c r="A1" s="4" t="inlineStr">
        <is>
          <t>Work package (remaining work)</t>
        </is>
      </c>
      <c r="B1" s="4" t="inlineStr">
        <is>
          <t>MVD (h)</t>
        </is>
      </c>
      <c r="C1" s="4" t="inlineStr">
        <is>
          <t>Realistic (h)</t>
        </is>
      </c>
      <c r="D1" s="4" t="inlineStr">
        <is>
          <t>Expanded (h)</t>
        </is>
      </c>
      <c r="E1" s="4" t="inlineStr">
        <is>
          <t>What it covers / why (all hours are ASSUMPTIONS — re-estimate with the team)</t>
        </is>
      </c>
    </row>
    <row r="2">
      <c r="A2" s="5" t="inlineStr">
        <is>
          <t>Fix client-side netId-0 bug + netcode hardening</t>
        </is>
      </c>
      <c r="B2" s="16" t="n">
        <v>80</v>
      </c>
      <c r="C2" s="16" t="n">
        <v>80</v>
      </c>
      <c r="D2" s="16" t="n">
        <v>80</v>
      </c>
      <c r="E2" s="2" t="inlineStr">
        <is>
          <t>Critical defect (00 §4): client shark cannot eat. Includes a real Steam 4-PC test matrix.</t>
        </is>
      </c>
    </row>
    <row r="3">
      <c r="A3" s="5" t="inlineStr">
        <is>
          <t>Bug backlog, stability, crash fixes</t>
        </is>
      </c>
      <c r="B3" s="16" t="n">
        <v>160</v>
      </c>
      <c r="C3" s="16" t="n">
        <v>200</v>
      </c>
      <c r="D3" s="16" t="n">
        <v>240</v>
      </c>
      <c r="E3" s="2" t="inlineStr">
        <is>
          <t>From playtest reports; scales with content.</t>
        </is>
      </c>
    </row>
    <row r="4">
      <c r="A4" s="5" t="inlineStr">
        <is>
          <t>Performance + Low/Medium quality presets (HDRP)</t>
        </is>
      </c>
      <c r="B4" s="16" t="n">
        <v>120</v>
      </c>
      <c r="C4" s="16" t="n">
        <v>140</v>
      </c>
      <c r="D4" s="16" t="n">
        <v>160</v>
      </c>
      <c r="E4" s="2" t="inlineStr">
        <is>
          <t>Editor baseline 17.5 ms main / 11–14 ms GPU at 1080p (2026-10-16). Friend groups have mixed PCs.</t>
        </is>
      </c>
    </row>
    <row r="5">
      <c r="A5" s="5" t="inlineStr">
        <is>
          <t>Onboarding: first-round hints, controls screen</t>
        </is>
      </c>
      <c r="B5" s="16" t="n">
        <v>80</v>
      </c>
      <c r="C5" s="16" t="n">
        <v>100</v>
      </c>
      <c r="D5" s="16" t="n">
        <v>120</v>
      </c>
      <c r="E5" s="2" t="inlineStr">
        <is>
          <t>No tutorial exists today.</t>
        </is>
      </c>
    </row>
    <row r="6">
      <c r="A6" s="5" t="inlineStr">
        <is>
          <t>Controller support complete + key rebinding</t>
        </is>
      </c>
      <c r="B6" s="16" t="n">
        <v>40</v>
      </c>
      <c r="C6" s="16" t="n">
        <v>40</v>
      </c>
      <c r="D6" s="16" t="n">
        <v>60</v>
      </c>
      <c r="E6" s="2" t="inlineStr">
        <is>
          <t>Movement has gamepad bindings; UI/tasks unverified.</t>
        </is>
      </c>
    </row>
    <row r="7">
      <c r="A7" s="5" t="inlineStr">
        <is>
          <t>Steamworks: own App ID, depots, achievements, rich presence</t>
        </is>
      </c>
      <c r="B7" s="16" t="n">
        <v>40</v>
      </c>
      <c r="C7" s="16" t="n">
        <v>50</v>
      </c>
      <c r="D7" s="16" t="n">
        <v>60</v>
      </c>
      <c r="E7" s="2" t="inlineStr">
        <is>
          <t>Today the game runs on Valve's test App 480.</t>
        </is>
      </c>
    </row>
    <row r="8">
      <c r="A8" s="5" t="inlineStr">
        <is>
          <t>Settings &amp; accessibility (push-to-talk, colour-blind glows, captions for alerts)</t>
        </is>
      </c>
      <c r="B8" s="16" t="n">
        <v>60</v>
      </c>
      <c r="C8" s="16" t="n">
        <v>70</v>
      </c>
      <c r="D8" s="16" t="n">
        <v>80</v>
      </c>
      <c r="E8" s="2" t="inlineStr">
        <is>
          <t>Voice is core — push-to-talk/open-mic choice is mandatory for comfort.</t>
        </is>
      </c>
    </row>
    <row r="9">
      <c r="A9" s="5" t="inlineStr">
        <is>
          <t>Balance tuning from playtests</t>
        </is>
      </c>
      <c r="B9" s="16" t="n">
        <v>80</v>
      </c>
      <c r="C9" s="16" t="n">
        <v>120</v>
      </c>
      <c r="D9" s="16" t="n">
        <v>160</v>
      </c>
      <c r="E9" s="2" t="inlineStr">
        <is>
          <t>Shark vs fish win-rate targets.</t>
        </is>
      </c>
    </row>
    <row r="10">
      <c r="A10" s="5" t="inlineStr">
        <is>
          <t>Playtest operations (weekends, surveys, Discord)</t>
        </is>
      </c>
      <c r="B10" s="16" t="n">
        <v>80</v>
      </c>
      <c r="C10" s="16" t="n">
        <v>100</v>
      </c>
      <c r="D10" s="16" t="n">
        <v>120</v>
      </c>
      <c r="E10" s="2" t="inlineStr">
        <is>
          <t>Runs from validation through beta.</t>
        </is>
      </c>
    </row>
    <row r="11">
      <c r="A11" s="5" t="inlineStr">
        <is>
          <t>Backer rewards: credits, Founder cosmetics (2) + selection UI, trawler names</t>
        </is>
      </c>
      <c r="B11" s="16" t="n">
        <v>60</v>
      </c>
      <c r="C11" s="16" t="n">
        <v>60</v>
      </c>
      <c r="D11" s="16" t="n">
        <v>60</v>
      </c>
      <c r="E11" s="2" t="inlineStr">
        <is>
          <t>Rewards in 05 that need game work.</t>
        </is>
      </c>
    </row>
    <row r="12">
      <c r="A12" s="5" t="inlineStr">
        <is>
          <t>Making-of digital book (PDF)</t>
        </is>
      </c>
      <c r="B12" s="16" t="n">
        <v>20</v>
      </c>
      <c r="C12" s="16" t="n">
        <v>20</v>
      </c>
      <c r="D12" s="16" t="n">
        <v>20</v>
      </c>
      <c r="E12" s="2" t="inlineStr">
        <is>
          <t>Founder-tier reward; in-engine screenshots + text.</t>
        </is>
      </c>
    </row>
    <row r="13">
      <c r="A13" s="5" t="inlineStr">
        <is>
          <t>Campaign + store + community management (pre-launch through campaign end)</t>
        </is>
      </c>
      <c r="B13" s="16" t="n">
        <v>200</v>
      </c>
      <c r="C13" s="16" t="n">
        <v>240</v>
      </c>
      <c r="D13" s="16" t="n">
        <v>280</v>
      </c>
      <c r="E13" s="2" t="inlineStr">
        <is>
          <t>Clips, posts, updates, comments, outreach.</t>
        </is>
      </c>
    </row>
    <row r="14">
      <c r="A14" s="5" t="inlineStr">
        <is>
          <t>Release management + 1 month post-launch patches</t>
        </is>
      </c>
      <c r="B14" s="16" t="n">
        <v>80</v>
      </c>
      <c r="C14" s="16" t="n">
        <v>80</v>
      </c>
      <c r="D14" s="16" t="n">
        <v>80</v>
      </c>
      <c r="E14" s="2" t="inlineStr">
        <is>
          <t>Builds, hotfixes.</t>
        </is>
      </c>
    </row>
    <row r="15">
      <c r="A15" s="5" t="inlineStr">
        <is>
          <t>Second map (kelp forest / shipwreck) — Realistic scope</t>
        </is>
      </c>
      <c r="B15" s="16" t="n">
        <v>0</v>
      </c>
      <c r="C15" s="16" t="n">
        <v>320</v>
      </c>
      <c r="D15" s="16" t="n">
        <v>320</v>
      </c>
      <c r="E15" s="2" t="inlineStr">
        <is>
          <t>Not in MVD. Uses asset packs + in-house layout.</t>
        </is>
      </c>
    </row>
    <row r="16">
      <c r="A16" s="5" t="inlineStr">
        <is>
          <t>Two new co-op tasks — Realistic scope</t>
        </is>
      </c>
      <c r="B16" s="16" t="n">
        <v>0</v>
      </c>
      <c r="C16" s="16" t="n">
        <v>120</v>
      </c>
      <c r="D16" s="16" t="n">
        <v>120</v>
      </c>
      <c r="E16" s="2" t="inlineStr">
        <is>
          <t>Keeps rounds fresh.</t>
        </is>
      </c>
    </row>
    <row r="17">
      <c r="A17" s="5" t="inlineStr">
        <is>
          <t>Localization integration (Unity Localization, fonts)</t>
        </is>
      </c>
      <c r="B17" s="16" t="n">
        <v>0</v>
      </c>
      <c r="C17" s="16" t="n">
        <v>60</v>
      </c>
      <c r="D17" s="16" t="n">
        <v>80</v>
      </c>
      <c r="E17" s="2" t="inlineStr">
        <is>
          <t>Translation itself is a cash cost (Costs).</t>
        </is>
      </c>
    </row>
    <row r="18">
      <c r="A18" s="5" t="inlineStr">
        <is>
          <t>Steam Deck verification pass</t>
        </is>
      </c>
      <c r="B18" s="16" t="n">
        <v>0</v>
      </c>
      <c r="C18" s="16" t="n">
        <v>60</v>
      </c>
      <c r="D18" s="16" t="n">
        <v>60</v>
      </c>
      <c r="E18" s="2" t="inlineStr">
        <is>
          <t>Needs perf work above.</t>
        </is>
      </c>
    </row>
    <row r="19">
      <c r="A19" s="5" t="inlineStr">
        <is>
          <t>Post-launch support months 2–4</t>
        </is>
      </c>
      <c r="B19" s="16" t="n">
        <v>0</v>
      </c>
      <c r="C19" s="16" t="n">
        <v>160</v>
      </c>
      <c r="D19" s="16" t="n">
        <v>240</v>
      </c>
      <c r="E19" s="2" t="inlineStr">
        <is>
          <t>Free updates promised in Realistic.</t>
        </is>
      </c>
    </row>
    <row r="20">
      <c r="A20" s="5" t="inlineStr">
        <is>
          <t>Third map — Expanded scope</t>
        </is>
      </c>
      <c r="B20" s="16" t="n">
        <v>0</v>
      </c>
      <c r="C20" s="16" t="n">
        <v>0</v>
      </c>
      <c r="D20" s="16" t="n">
        <v>320</v>
      </c>
      <c r="E20" s="2" t="inlineStr">
        <is>
          <t>Not promised unless Expanded is funded.</t>
        </is>
      </c>
    </row>
    <row r="21">
      <c r="A21" s="5" t="inlineStr">
        <is>
          <t>AI fish fill-ins so 2–3 players can play — Expanded scope</t>
        </is>
      </c>
      <c r="B21" s="16" t="n">
        <v>0</v>
      </c>
      <c r="C21" s="16" t="n">
        <v>0</v>
      </c>
      <c r="D21" s="16" t="n">
        <v>240</v>
      </c>
      <c r="E21" s="2" t="inlineStr">
        <is>
          <t>Biggest audience unlock but high netcode/AI risk.</t>
        </is>
      </c>
    </row>
    <row r="22">
      <c r="A22" s="5" t="inlineStr">
        <is>
          <t>Second shark species / role variant — Expanded scope</t>
        </is>
      </c>
      <c r="B22" s="16" t="n">
        <v>0</v>
      </c>
      <c r="C22" s="16" t="n">
        <v>0</v>
      </c>
      <c r="D22" s="16" t="n">
        <v>160</v>
      </c>
      <c r="E22" s="2" t="inlineStr">
        <is>
          <t>Needs a licensed model (Costs).</t>
        </is>
      </c>
    </row>
    <row r="23">
      <c r="A23" s="17" t="inlineStr">
        <is>
          <t>TOTAL remaining hours</t>
        </is>
      </c>
      <c r="B23" s="18">
        <f>SUM(B2:B22)</f>
        <v/>
      </c>
      <c r="C23" s="18">
        <f>SUM(C2:C22)</f>
        <v/>
      </c>
      <c r="D23" s="18">
        <f>SUM(D2:D22)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80" customWidth="1" min="9" max="9"/>
  </cols>
  <sheetData>
    <row r="1">
      <c r="A1" s="4" t="inlineStr">
        <is>
          <t>Cash cost item (non-labor)</t>
        </is>
      </c>
      <c r="B1" s="4" t="inlineStr">
        <is>
          <t>Currency</t>
        </is>
      </c>
      <c r="C1" s="4" t="inlineStr">
        <is>
          <t>MVD</t>
        </is>
      </c>
      <c r="D1" s="4" t="inlineStr">
        <is>
          <t>Realistic</t>
        </is>
      </c>
      <c r="E1" s="4" t="inlineStr">
        <is>
          <t>Expanded</t>
        </is>
      </c>
      <c r="F1" s="4" t="inlineStr">
        <is>
          <t>MVD (EUR)</t>
        </is>
      </c>
      <c r="G1" s="4" t="inlineStr">
        <is>
          <t>Realistic (EUR)</t>
        </is>
      </c>
      <c r="H1" s="4" t="inlineStr">
        <is>
          <t>Expanded (EUR)</t>
        </is>
      </c>
      <c r="I1" s="4" t="inlineStr">
        <is>
          <t>Source / reasoning</t>
        </is>
      </c>
    </row>
    <row r="2">
      <c r="A2" s="5" t="inlineStr">
        <is>
          <t>Steam Direct fee</t>
        </is>
      </c>
      <c r="B2" s="11" t="inlineStr">
        <is>
          <t>USD</t>
        </is>
      </c>
      <c r="C2" s="19">
        <f>Inputs!$B$22</f>
        <v/>
      </c>
      <c r="D2" s="19">
        <f>Inputs!$B$22</f>
        <v/>
      </c>
      <c r="E2" s="19">
        <f>Inputs!$B$22</f>
        <v/>
      </c>
      <c r="F2" s="20">
        <f>IF($B2="USD",C2/Inputs!$B$8,C2)</f>
        <v/>
      </c>
      <c r="G2" s="20">
        <f>IF($B2="USD",D2/Inputs!$B$8,D2)</f>
        <v/>
      </c>
      <c r="H2" s="20">
        <f>IF($B2="USD",E2/Inputs!$B$8,E2)</f>
        <v/>
      </c>
      <c r="I2" s="2" t="inlineStr">
        <is>
          <t>Verified (Inputs).</t>
        </is>
      </c>
    </row>
    <row r="3">
      <c r="A3" s="5" t="inlineStr">
        <is>
          <t>US company: Stripe Atlas setup</t>
        </is>
      </c>
      <c r="B3" s="11" t="inlineStr">
        <is>
          <t>USD</t>
        </is>
      </c>
      <c r="C3" s="19">
        <f>Inputs!$B$16*Inputs!$B$15</f>
        <v/>
      </c>
      <c r="D3" s="19">
        <f>Inputs!$B$16*Inputs!$B$15</f>
        <v/>
      </c>
      <c r="E3" s="19">
        <f>Inputs!$B$16*Inputs!$B$15</f>
        <v/>
      </c>
      <c r="F3" s="20">
        <f>IF($B3="USD",C3/Inputs!$B$8,C3)</f>
        <v/>
      </c>
      <c r="G3" s="20">
        <f>IF($B3="USD",D3/Inputs!$B$8,D3)</f>
        <v/>
      </c>
      <c r="H3" s="20">
        <f>IF($B3="USD",E3/Inputs!$B$8,E3)</f>
        <v/>
      </c>
      <c r="I3" s="2" t="inlineStr">
        <is>
          <t>Only if entity route = 1.</t>
        </is>
      </c>
    </row>
    <row r="4">
      <c r="A4" s="5" t="inlineStr">
        <is>
          <t>US company: year-2 agent + state tax</t>
        </is>
      </c>
      <c r="B4" s="11" t="inlineStr">
        <is>
          <t>USD</t>
        </is>
      </c>
      <c r="C4" s="19">
        <f>(Inputs!$B$17+Inputs!$B$18)*Inputs!$B$15</f>
        <v/>
      </c>
      <c r="D4" s="19">
        <f>(Inputs!$B$17+Inputs!$B$18)*Inputs!$B$15</f>
        <v/>
      </c>
      <c r="E4" s="19">
        <f>(Inputs!$B$17+Inputs!$B$18)*Inputs!$B$15</f>
        <v/>
      </c>
      <c r="F4" s="20">
        <f>IF($B4="USD",C4/Inputs!$B$8,C4)</f>
        <v/>
      </c>
      <c r="G4" s="20">
        <f>IF($B4="USD",D4/Inputs!$B$8,D4)</f>
        <v/>
      </c>
      <c r="H4" s="20">
        <f>IF($B4="USD",E4/Inputs!$B$8,E4)</f>
        <v/>
      </c>
      <c r="I4" s="2" t="inlineStr">
        <is>
          <t>Delivery runs into a second year.</t>
        </is>
      </c>
    </row>
    <row r="5">
      <c r="A5" s="5" t="inlineStr">
        <is>
          <t>US company: accountant filings (2 years)</t>
        </is>
      </c>
      <c r="B5" s="11" t="inlineStr">
        <is>
          <t>USD</t>
        </is>
      </c>
      <c r="C5" s="19">
        <f>2*Inputs!$B$19*Inputs!$B$15</f>
        <v/>
      </c>
      <c r="D5" s="19">
        <f>2*Inputs!$B$19*Inputs!$B$15</f>
        <v/>
      </c>
      <c r="E5" s="19">
        <f>2*Inputs!$B$19*Inputs!$B$15</f>
        <v/>
      </c>
      <c r="F5" s="20">
        <f>IF($B5="USD",C5/Inputs!$B$8,C5)</f>
        <v/>
      </c>
      <c r="G5" s="20">
        <f>IF($B5="USD",D5/Inputs!$B$8,D5)</f>
        <v/>
      </c>
      <c r="H5" s="20">
        <f>IF($B5="USD",E5/Inputs!$B$8,E5)</f>
        <v/>
      </c>
      <c r="I5" s="2" t="inlineStr">
        <is>
          <t>Assumption; get a quote.</t>
        </is>
      </c>
    </row>
    <row r="6">
      <c r="A6" s="5" t="inlineStr">
        <is>
          <t>Dutch accountant (income tax + VAT)</t>
        </is>
      </c>
      <c r="B6" s="11" t="inlineStr">
        <is>
          <t>EUR</t>
        </is>
      </c>
      <c r="C6" s="19">
        <f>Inputs!$B$20</f>
        <v/>
      </c>
      <c r="D6" s="19">
        <f>Inputs!$B$20*1.5</f>
        <v/>
      </c>
      <c r="E6" s="19">
        <f>Inputs!$B$20*2</f>
        <v/>
      </c>
      <c r="F6" s="20">
        <f>IF($B6="USD",C6/Inputs!$B$8,C6)</f>
        <v/>
      </c>
      <c r="G6" s="20">
        <f>IF($B6="USD",D6/Inputs!$B$8,D6)</f>
        <v/>
      </c>
      <c r="H6" s="20">
        <f>IF($B6="USD",E6/Inputs!$B$8,E6)</f>
        <v/>
      </c>
      <c r="I6" s="2" t="inlineStr">
        <is>
          <t>Assumption: longer delivery = more filing years.</t>
        </is>
      </c>
    </row>
    <row r="7">
      <c r="A7" s="5" t="inlineStr">
        <is>
          <t>KvK registration</t>
        </is>
      </c>
      <c r="B7" s="11" t="inlineStr">
        <is>
          <t>EUR</t>
        </is>
      </c>
      <c r="C7" s="19">
        <f>Inputs!$B$21</f>
        <v/>
      </c>
      <c r="D7" s="19">
        <f>Inputs!$B$21</f>
        <v/>
      </c>
      <c r="E7" s="19">
        <f>Inputs!$B$21</f>
        <v/>
      </c>
      <c r="F7" s="20">
        <f>IF($B7="USD",C7/Inputs!$B$8,C7)</f>
        <v/>
      </c>
      <c r="G7" s="20">
        <f>IF($B7="USD",D7/Inputs!$B$8,D7)</f>
        <v/>
      </c>
      <c r="H7" s="20">
        <f>IF($B7="USD",E7/Inputs!$B$8,E7)</f>
        <v/>
      </c>
      <c r="I7" s="2" t="inlineStr">
        <is>
          <t>Assumption.</t>
        </is>
      </c>
    </row>
    <row r="8">
      <c r="A8" s="5" t="inlineStr">
        <is>
          <t>Original music (score + jingles)</t>
        </is>
      </c>
      <c r="B8" s="11" t="inlineStr">
        <is>
          <t>EUR</t>
        </is>
      </c>
      <c r="C8" s="16" t="n">
        <v>0</v>
      </c>
      <c r="D8" s="16" t="n">
        <v>2500</v>
      </c>
      <c r="E8" s="16" t="n">
        <v>5000</v>
      </c>
      <c r="F8" s="20">
        <f>IF($B8="USD",C8/Inputs!$B$8,C8)</f>
        <v/>
      </c>
      <c r="G8" s="20">
        <f>IF($B8="USD",D8/Inputs!$B$8,D8)</f>
        <v/>
      </c>
      <c r="H8" s="20">
        <f>IF($B8="USD",E8/Inputs!$B$8,E8)</f>
        <v/>
      </c>
      <c r="I8" s="2" t="inlineStr">
        <is>
          <t>Current music is CC0 third-party and fine to ship; an original score lets the team offer a soundtrack later. Freelance quote needed.</t>
        </is>
      </c>
    </row>
    <row r="9">
      <c r="A9" s="5" t="inlineStr">
        <is>
          <t>Sound design pack licences</t>
        </is>
      </c>
      <c r="B9" s="11" t="inlineStr">
        <is>
          <t>EUR</t>
        </is>
      </c>
      <c r="C9" s="16" t="n">
        <v>0</v>
      </c>
      <c r="D9" s="16" t="n">
        <v>500</v>
      </c>
      <c r="E9" s="16" t="n">
        <v>1500</v>
      </c>
      <c r="F9" s="20">
        <f>IF($B9="USD",C9/Inputs!$B$8,C9)</f>
        <v/>
      </c>
      <c r="G9" s="20">
        <f>IF($B9="USD",D9/Inputs!$B$8,D9)</f>
        <v/>
      </c>
      <c r="H9" s="20">
        <f>IF($B9="USD",E9/Inputs!$B$8,E9)</f>
        <v/>
      </c>
      <c r="I9" s="2" t="inlineStr">
        <is>
          <t>Asset-store / library SFX; assumption.</t>
        </is>
      </c>
    </row>
    <row r="10">
      <c r="A10" s="5" t="inlineStr">
        <is>
          <t>Art: environment packs for second/third map</t>
        </is>
      </c>
      <c r="B10" s="11" t="inlineStr">
        <is>
          <t>EUR</t>
        </is>
      </c>
      <c r="C10" s="16" t="n">
        <v>0</v>
      </c>
      <c r="D10" s="16" t="n">
        <v>400</v>
      </c>
      <c r="E10" s="16" t="n">
        <v>900</v>
      </c>
      <c r="F10" s="20">
        <f>IF($B10="USD",C10/Inputs!$B$8,C10)</f>
        <v/>
      </c>
      <c r="G10" s="20">
        <f>IF($B10="USD",D10/Inputs!$B$8,D10)</f>
        <v/>
      </c>
      <c r="H10" s="20">
        <f>IF($B10="USD",E10/Inputs!$B$8,E10)</f>
        <v/>
      </c>
      <c r="I10" s="2" t="inlineStr">
        <is>
          <t>Asset-store packs; check licences allow marketing renders.</t>
        </is>
      </c>
    </row>
    <row r="11">
      <c r="A11" s="5" t="inlineStr">
        <is>
          <t>Art: licensed model for second shark species</t>
        </is>
      </c>
      <c r="B11" s="11" t="inlineStr">
        <is>
          <t>EUR</t>
        </is>
      </c>
      <c r="C11" s="16" t="n">
        <v>0</v>
      </c>
      <c r="D11" s="16" t="n">
        <v>0</v>
      </c>
      <c r="E11" s="16" t="n">
        <v>1500</v>
      </c>
      <c r="F11" s="20">
        <f>IF($B11="USD",C11/Inputs!$B$8,C11)</f>
        <v/>
      </c>
      <c r="G11" s="20">
        <f>IF($B11="USD",D11/Inputs!$B$8,D11)</f>
        <v/>
      </c>
      <c r="H11" s="20">
        <f>IF($B11="USD",E11/Inputs!$B$8,E11)</f>
        <v/>
      </c>
      <c r="I11" s="2" t="inlineStr">
        <is>
          <t>Expanded only; freelance or store model.</t>
        </is>
      </c>
    </row>
    <row r="12">
      <c r="A12" s="5" t="inlineStr">
        <is>
          <t>Freelance artist contract (Expanded)</t>
        </is>
      </c>
      <c r="B12" s="11" t="inlineStr">
        <is>
          <t>EUR</t>
        </is>
      </c>
      <c r="C12" s="16" t="n">
        <v>0</v>
      </c>
      <c r="D12" s="16" t="n">
        <v>0</v>
      </c>
      <c r="E12" s="16" t="n">
        <v>6000</v>
      </c>
      <c r="F12" s="20">
        <f>IF($B12="USD",C12/Inputs!$B$8,C12)</f>
        <v/>
      </c>
      <c r="G12" s="20">
        <f>IF($B12="USD",D12/Inputs!$B$8,D12)</f>
        <v/>
      </c>
      <c r="H12" s="20">
        <f>IF($B12="USD",E12/Inputs!$B$8,E12)</f>
        <v/>
      </c>
      <c r="I12" s="2" t="inlineStr">
        <is>
          <t>Expanded only: ~3 months part-time 3D/tech-art help. Assumption.</t>
        </is>
      </c>
    </row>
    <row r="13">
      <c r="A13" s="5" t="inlineStr">
        <is>
          <t>Localization: translation (6 languages Realistic / 10 Expanded)</t>
        </is>
      </c>
      <c r="B13" s="11" t="inlineStr">
        <is>
          <t>EUR</t>
        </is>
      </c>
      <c r="C13" s="16" t="n">
        <v>0</v>
      </c>
      <c r="D13" s="16" t="n">
        <v>2400</v>
      </c>
      <c r="E13" s="16" t="n">
        <v>4000</v>
      </c>
      <c r="F13" s="20">
        <f>IF($B13="USD",C13/Inputs!$B$8,C13)</f>
        <v/>
      </c>
      <c r="G13" s="20">
        <f>IF($B13="USD",D13/Inputs!$B$8,D13)</f>
        <v/>
      </c>
      <c r="H13" s="20">
        <f>IF($B13="USD",E13/Inputs!$B$8,E13)</f>
        <v/>
      </c>
      <c r="I13" s="2" t="inlineStr">
        <is>
          <t>≈4,000 words × €0.10/word × languages (assumption; get quotes). MVD ships English only.</t>
        </is>
      </c>
    </row>
    <row r="14">
      <c r="A14" s="5" t="inlineStr">
        <is>
          <t>Compatibility hardware (used low-end GPU / Steam Deck)</t>
        </is>
      </c>
      <c r="B14" s="11" t="inlineStr">
        <is>
          <t>EUR</t>
        </is>
      </c>
      <c r="C14" s="16" t="n">
        <v>300</v>
      </c>
      <c r="D14" s="16" t="n">
        <v>900</v>
      </c>
      <c r="E14" s="16" t="n">
        <v>1200</v>
      </c>
      <c r="F14" s="20">
        <f>IF($B14="USD",C14/Inputs!$B$8,C14)</f>
        <v/>
      </c>
      <c r="G14" s="20">
        <f>IF($B14="USD",D14/Inputs!$B$8,D14)</f>
        <v/>
      </c>
      <c r="H14" s="20">
        <f>IF($B14="USD",E14/Inputs!$B$8,E14)</f>
        <v/>
      </c>
      <c r="I14" s="2" t="inlineStr">
        <is>
          <t>Assumption. Steam Deck only from Realistic.</t>
        </is>
      </c>
    </row>
    <row r="15">
      <c r="A15" s="5" t="inlineStr">
        <is>
          <t>Software, domain, email tool, misc. services</t>
        </is>
      </c>
      <c r="B15" s="11" t="inlineStr">
        <is>
          <t>EUR</t>
        </is>
      </c>
      <c r="C15" s="16" t="n">
        <v>60</v>
      </c>
      <c r="D15" s="16" t="n">
        <v>150</v>
      </c>
      <c r="E15" s="16" t="n">
        <v>300</v>
      </c>
      <c r="F15" s="20">
        <f>IF($B15="USD",C15/Inputs!$B$8,C15)</f>
        <v/>
      </c>
      <c r="G15" s="20">
        <f>IF($B15="USD",D15/Inputs!$B$8,D15)</f>
        <v/>
      </c>
      <c r="H15" s="20">
        <f>IF($B15="USD",E15/Inputs!$B$8,E15)</f>
        <v/>
      </c>
      <c r="I15" s="2" t="inlineStr">
        <is>
          <t>Unity Personal is free below its revenue/funding threshold (verify current threshold at unity.com before launch). Steam relay + voice cost nothing.</t>
        </is>
      </c>
    </row>
    <row r="16">
      <c r="A16" s="5" t="inlineStr">
        <is>
          <t>Pre-launch ads: Kickstarter-follower &amp; email lead ads</t>
        </is>
      </c>
      <c r="B16" s="11" t="inlineStr">
        <is>
          <t>EUR</t>
        </is>
      </c>
      <c r="C16" s="16" t="n">
        <v>750</v>
      </c>
      <c r="D16" s="16" t="n">
        <v>1000</v>
      </c>
      <c r="E16" s="16" t="n">
        <v>1500</v>
      </c>
      <c r="F16" s="20">
        <f>IF($B16="USD",C16/Inputs!$B$8,C16)</f>
        <v/>
      </c>
      <c r="G16" s="20">
        <f>IF($B16="USD",D16/Inputs!$B$8,D16)</f>
        <v/>
      </c>
      <c r="H16" s="20">
        <f>IF($B16="USD",E16/Inputs!$B$8,E16)</f>
        <v/>
      </c>
      <c r="I16" s="2" t="inlineStr">
        <is>
          <t>Full Charge playbook: start $5–10/day, test 3–4 creatives; benchmark $1.70–2.50 per KS follower with strong gameplay creative → ~300–440 followers at MVD spend. Only with explicit approval.</t>
        </is>
      </c>
    </row>
    <row r="17">
      <c r="A17" s="5" t="inlineStr">
        <is>
          <t>Live-campaign ads (Meta/Reddit), retargeting</t>
        </is>
      </c>
      <c r="B17" s="11" t="inlineStr">
        <is>
          <t>EUR</t>
        </is>
      </c>
      <c r="C17" s="16" t="n">
        <v>1500</v>
      </c>
      <c r="D17" s="16" t="n">
        <v>3000</v>
      </c>
      <c r="E17" s="16" t="n">
        <v>6000</v>
      </c>
      <c r="F17" s="20">
        <f>IF($B17="USD",C17/Inputs!$B$8,C17)</f>
        <v/>
      </c>
      <c r="G17" s="20">
        <f>IF($B17="USD",D17/Inputs!$B$8,D17)</f>
        <v/>
      </c>
      <c r="H17" s="20">
        <f>IF($B17="USD",E17/Inputs!$B$8,E17)</f>
        <v/>
      </c>
      <c r="I17" s="2" t="inlineStr">
        <is>
          <t>Guide: 20–30% of goal to ads when starting from scratch; Boo Croo budgeted 10% marketing. Pause if ad cost per backer &gt; net per backer (dashboard T6).</t>
        </is>
      </c>
    </row>
    <row r="18">
      <c r="A18" s="5" t="inlineStr">
        <is>
          <t>Campaign video: music licence / voice-over / stock SFX</t>
        </is>
      </c>
      <c r="B18" s="11" t="inlineStr">
        <is>
          <t>EUR</t>
        </is>
      </c>
      <c r="C18" s="16" t="n">
        <v>0</v>
      </c>
      <c r="D18" s="16" t="n">
        <v>300</v>
      </c>
      <c r="E18" s="16" t="n">
        <v>600</v>
      </c>
      <c r="F18" s="20">
        <f>IF($B18="USD",C18/Inputs!$B$8,C18)</f>
        <v/>
      </c>
      <c r="G18" s="20">
        <f>IF($B18="USD",D18/Inputs!$B$8,D18)</f>
        <v/>
      </c>
      <c r="H18" s="20">
        <f>IF($B18="USD",E18/Inputs!$B$8,E18)</f>
        <v/>
      </c>
      <c r="I18" s="2" t="inlineStr">
        <is>
          <t>MVD uses CC0 music + founders' own voice-over.</t>
        </is>
      </c>
    </row>
    <row r="19">
      <c r="A19" s="5" t="inlineStr">
        <is>
          <t>Press/creator kit hosting, keys service</t>
        </is>
      </c>
      <c r="B19" s="11" t="inlineStr">
        <is>
          <t>EUR</t>
        </is>
      </c>
      <c r="C19" s="16" t="n">
        <v>0</v>
      </c>
      <c r="D19" s="16" t="n">
        <v>0</v>
      </c>
      <c r="E19" s="16" t="n">
        <v>0</v>
      </c>
      <c r="F19" s="20">
        <f>IF($B19="USD",C19/Inputs!$B$8,C19)</f>
        <v/>
      </c>
      <c r="G19" s="20">
        <f>IF($B19="USD",D19/Inputs!$B$8,D19)</f>
        <v/>
      </c>
      <c r="H19" s="20">
        <f>IF($B19="USD",E19/Inputs!$B$8,E19)</f>
        <v/>
      </c>
      <c r="I19" s="2" t="inlineStr">
        <is>
          <t>Free tools (Steam keys, presskit pages).</t>
        </is>
      </c>
    </row>
    <row r="20">
      <c r="A20" s="17" t="inlineStr">
        <is>
          <t>TOTAL cash costs (EUR)</t>
        </is>
      </c>
      <c r="F20" s="21">
        <f>SUM(F2:F19)</f>
        <v/>
      </c>
      <c r="G20" s="21">
        <f>SUM(G2:G19)</f>
        <v/>
      </c>
      <c r="H20" s="21">
        <f>SUM(H2:H19)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1" customWidth="1" min="11" max="11"/>
    <col width="52" customWidth="1" min="12" max="12"/>
    <col width="26" customWidth="1" min="13" max="13"/>
    <col width="16" customWidth="1" min="14" max="14"/>
    <col width="14" customWidth="1" min="15" max="15"/>
    <col width="40" customWidth="1" min="16" max="16"/>
  </cols>
  <sheetData>
    <row r="1">
      <c r="A1" s="4" t="inlineStr">
        <is>
          <t>Tier</t>
        </is>
      </c>
      <c r="B1" s="4" t="inlineStr">
        <is>
          <t>Price (EUR)</t>
        </is>
      </c>
      <c r="C1" s="4" t="inlineStr">
        <is>
          <t>Limit</t>
        </is>
      </c>
      <c r="D1" s="4" t="inlineStr">
        <is>
          <t>Mix (share of backers)</t>
        </is>
      </c>
      <c r="E1" s="4" t="inlineStr">
        <is>
          <t>Steam keys incl.</t>
        </is>
      </c>
      <c r="F1" s="4" t="inlineStr">
        <is>
          <t>Fulfilment €/backer</t>
        </is>
      </c>
      <c r="G1" s="4" t="inlineStr">
        <is>
          <t>Proc. %</t>
        </is>
      </c>
      <c r="H1" s="4" t="inlineStr">
        <is>
          <t>Fixed fee €</t>
        </is>
      </c>
      <c r="I1" s="4" t="inlineStr">
        <is>
          <t>Total fee €/pledge</t>
        </is>
      </c>
      <c r="J1" s="4" t="inlineStr">
        <is>
          <t>Net €/backer</t>
        </is>
      </c>
      <c r="K1" s="4" t="inlineStr">
        <is>
          <t>€ share (weight)</t>
        </is>
      </c>
      <c r="L1" s="4" t="inlineStr">
        <is>
          <t>Includes</t>
        </is>
      </c>
      <c r="M1" s="4" t="inlineStr">
        <is>
          <t>Target segment</t>
        </is>
      </c>
      <c r="N1" s="4" t="inlineStr">
        <is>
          <t>Delivery</t>
        </is>
      </c>
      <c r="O1" s="4" t="inlineStr">
        <is>
          <t>Complexity</t>
        </is>
      </c>
      <c r="P1" s="4" t="inlineStr">
        <is>
          <t>Main risk</t>
        </is>
      </c>
    </row>
    <row r="2">
      <c r="A2" s="5" t="inlineStr">
        <is>
          <t>Ripple (thank you)</t>
        </is>
      </c>
      <c r="B2" s="8" t="n">
        <v>5</v>
      </c>
      <c r="C2" s="11" t="inlineStr">
        <is>
          <t>—</t>
        </is>
      </c>
      <c r="D2" s="10" t="n">
        <v>0.07000000000000001</v>
      </c>
      <c r="E2" s="16" t="n">
        <v>0</v>
      </c>
      <c r="F2" s="7" t="n">
        <v>0</v>
      </c>
      <c r="G2" s="22">
        <f>IF(B2&lt;Inputs!$B$7,Inputs!$B$5,Inputs!$B$3)</f>
        <v/>
      </c>
      <c r="H2" s="23">
        <f>IF(B2&lt;Inputs!$B$7,Inputs!$B$6,Inputs!$B$4)</f>
        <v/>
      </c>
      <c r="I2" s="24">
        <f>B2*(Inputs!$B$2+G2+Inputs!$B$9+Inputs!$B$11+Inputs!$B$12*Inputs!$B$13/(1+Inputs!$B$13))+H2</f>
        <v/>
      </c>
      <c r="J2" s="24">
        <f>B2-I2-F2-Inputs!$B$14</f>
        <v/>
      </c>
      <c r="K2" s="24">
        <f>B2*D2</f>
        <v/>
      </c>
      <c r="L2" s="25" t="inlineStr">
        <is>
          <t>Name in in-game Supporters credits; backer Discord role; 4K wallpaper pack (from master key art).</t>
        </is>
      </c>
      <c r="M2" s="25" t="inlineStr">
        <is>
          <t>Friends &amp; well-wishers</t>
        </is>
      </c>
      <c r="N2" s="25" t="inlineStr">
        <is>
          <t>Jun 2027</t>
        </is>
      </c>
      <c r="O2" s="25" t="inlineStr">
        <is>
          <t>Very low</t>
        </is>
      </c>
      <c r="P2" s="25" t="inlineStr">
        <is>
          <t>None material.</t>
        </is>
      </c>
    </row>
    <row r="3">
      <c r="A3" s="5" t="inlineStr">
        <is>
          <t>Early Diver (limited)</t>
        </is>
      </c>
      <c r="B3" s="8" t="n">
        <v>12</v>
      </c>
      <c r="C3" s="11" t="n">
        <v>300</v>
      </c>
      <c r="D3" s="10" t="n">
        <v>0.18</v>
      </c>
      <c r="E3" s="16" t="n">
        <v>1</v>
      </c>
      <c r="F3" s="7" t="n">
        <v>0</v>
      </c>
      <c r="G3" s="22">
        <f>IF(B3&lt;Inputs!$B$7,Inputs!$B$5,Inputs!$B$3)</f>
        <v/>
      </c>
      <c r="H3" s="23">
        <f>IF(B3&lt;Inputs!$B$7,Inputs!$B$6,Inputs!$B$4)</f>
        <v/>
      </c>
      <c r="I3" s="24">
        <f>B3*(Inputs!$B$2+G3+Inputs!$B$9+Inputs!$B$11+Inputs!$B$12*Inputs!$B$13/(1+Inputs!$B$13))+H3</f>
        <v/>
      </c>
      <c r="J3" s="24">
        <f>B3-I3-F3-Inputs!$B$14</f>
        <v/>
      </c>
      <c r="K3" s="24">
        <f>B3*D3</f>
        <v/>
      </c>
      <c r="L3" s="25" t="inlineStr">
        <is>
          <t>1 Steam key for Reef Run (backer beta, then full game); name in Supporters credits.</t>
        </is>
      </c>
      <c r="M3" s="25" t="inlineStr">
        <is>
          <t>Early S1/S3 backers</t>
        </is>
      </c>
      <c r="N3" s="25" t="inlineStr">
        <is>
          <t>Beta: Jul 2027</t>
        </is>
      </c>
      <c r="O3" s="25" t="inlineStr">
        <is>
          <t>Low</t>
        </is>
      </c>
      <c r="P3" s="25" t="inlineStr">
        <is>
          <t>Below the planned €12.99 retail → plan a Steam launch discount for parity (Steam key rules).</t>
        </is>
      </c>
    </row>
    <row r="4">
      <c r="A4" s="5" t="inlineStr">
        <is>
          <t>Diver</t>
        </is>
      </c>
      <c r="B4" s="8" t="n">
        <v>15</v>
      </c>
      <c r="C4" s="11" t="inlineStr">
        <is>
          <t>—</t>
        </is>
      </c>
      <c r="D4" s="10" t="n">
        <v>0.2</v>
      </c>
      <c r="E4" s="16" t="n">
        <v>1</v>
      </c>
      <c r="F4" s="7" t="n">
        <v>0</v>
      </c>
      <c r="G4" s="22">
        <f>IF(B4&lt;Inputs!$B$7,Inputs!$B$5,Inputs!$B$3)</f>
        <v/>
      </c>
      <c r="H4" s="23">
        <f>IF(B4&lt;Inputs!$B$7,Inputs!$B$6,Inputs!$B$4)</f>
        <v/>
      </c>
      <c r="I4" s="24">
        <f>B4*(Inputs!$B$2+G4+Inputs!$B$9+Inputs!$B$11+Inputs!$B$12*Inputs!$B$13/(1+Inputs!$B$13))+H4</f>
        <v/>
      </c>
      <c r="J4" s="24">
        <f>B4-I4-F4-Inputs!$B$14</f>
        <v/>
      </c>
      <c r="K4" s="24">
        <f>B4*D4</f>
        <v/>
      </c>
      <c r="L4" s="25" t="inlineStr">
        <is>
          <t>Same as Early Diver.</t>
        </is>
      </c>
      <c r="M4" s="25" t="inlineStr">
        <is>
          <t>S1/S3</t>
        </is>
      </c>
      <c r="N4" s="25" t="inlineStr">
        <is>
          <t>Beta: Jul 2027</t>
        </is>
      </c>
      <c r="O4" s="25" t="inlineStr">
        <is>
          <t>Low</t>
        </is>
      </c>
      <c r="P4" s="25" t="inlineStr">
        <is>
          <t>Beta-key cap 2,500 (Steam).</t>
        </is>
      </c>
    </row>
    <row r="5">
      <c r="A5" s="5" t="inlineStr">
        <is>
          <t>Founding Diver</t>
        </is>
      </c>
      <c r="B5" s="8" t="n">
        <v>29</v>
      </c>
      <c r="C5" s="11" t="inlineStr">
        <is>
          <t>—</t>
        </is>
      </c>
      <c r="D5" s="10" t="n">
        <v>0.22</v>
      </c>
      <c r="E5" s="16" t="n">
        <v>1</v>
      </c>
      <c r="F5" s="7" t="n">
        <v>0</v>
      </c>
      <c r="G5" s="22">
        <f>IF(B5&lt;Inputs!$B$7,Inputs!$B$5,Inputs!$B$3)</f>
        <v/>
      </c>
      <c r="H5" s="23">
        <f>IF(B5&lt;Inputs!$B$7,Inputs!$B$6,Inputs!$B$4)</f>
        <v/>
      </c>
      <c r="I5" s="24">
        <f>B5*(Inputs!$B$2+G5+Inputs!$B$9+Inputs!$B$11+Inputs!$B$12*Inputs!$B$13/(1+Inputs!$B$13))+H5</f>
        <v/>
      </c>
      <c r="J5" s="24">
        <f>B5-I5-F5-Inputs!$B$14</f>
        <v/>
      </c>
      <c r="K5" s="24">
        <f>B5*D5</f>
        <v/>
      </c>
      <c r="L5" s="25" t="inlineStr">
        <is>
          <t>Diver + Founder cosmetics (fish 'Founder Fin' pattern + shark 'Old Scar' skin) + Founders credits section + Making-of PDF.</t>
        </is>
      </c>
      <c r="M5" s="25" t="inlineStr">
        <is>
          <t>S3, S2</t>
        </is>
      </c>
      <c r="N5" s="25" t="inlineStr">
        <is>
          <t>Key Jul 2027 · cosmetics at 1.0</t>
        </is>
      </c>
      <c r="O5" s="25" t="inlineStr">
        <is>
          <t>Medium</t>
        </is>
      </c>
      <c r="P5" s="25" t="inlineStr">
        <is>
          <t>Cosmetics need a selection UI + network sync (in Labor).</t>
        </is>
      </c>
    </row>
    <row r="6">
      <c r="A6" s="5" t="inlineStr">
        <is>
          <t>Pod of Four</t>
        </is>
      </c>
      <c r="B6" s="8" t="n">
        <v>49</v>
      </c>
      <c r="C6" s="11" t="inlineStr">
        <is>
          <t>—</t>
        </is>
      </c>
      <c r="D6" s="10" t="n">
        <v>0.2</v>
      </c>
      <c r="E6" s="16" t="n">
        <v>4</v>
      </c>
      <c r="F6" s="7" t="n">
        <v>0</v>
      </c>
      <c r="G6" s="22">
        <f>IF(B6&lt;Inputs!$B$7,Inputs!$B$5,Inputs!$B$3)</f>
        <v/>
      </c>
      <c r="H6" s="23">
        <f>IF(B6&lt;Inputs!$B$7,Inputs!$B$6,Inputs!$B$4)</f>
        <v/>
      </c>
      <c r="I6" s="24">
        <f>B6*(Inputs!$B$2+G6+Inputs!$B$9+Inputs!$B$11+Inputs!$B$12*Inputs!$B$13/(1+Inputs!$B$13))+H6</f>
        <v/>
      </c>
      <c r="J6" s="24">
        <f>B6-I6-F6-Inputs!$B$14</f>
        <v/>
      </c>
      <c r="K6" s="24">
        <f>B6*D6</f>
        <v/>
      </c>
      <c r="L6" s="25" t="inlineStr">
        <is>
          <t>4 Steam keys (for your group) + beta access for all 4 + 4 names in Supporters credits.</t>
        </is>
      </c>
      <c r="M6" s="25" t="inlineStr">
        <is>
          <t>S1 friend groups</t>
        </is>
      </c>
      <c r="N6" s="25" t="inlineStr">
        <is>
          <t>Beta: Jul 2027</t>
        </is>
      </c>
      <c r="O6" s="25" t="inlineStr">
        <is>
          <t>Low</t>
        </is>
      </c>
      <c r="P6" s="25" t="inlineStr">
        <is>
          <t>Uses 4 beta keys each → watch the 2,500 cap.</t>
        </is>
      </c>
    </row>
    <row r="7">
      <c r="A7" s="5" t="inlineStr">
        <is>
          <t>Founding Pod</t>
        </is>
      </c>
      <c r="B7" s="8" t="n">
        <v>99</v>
      </c>
      <c r="C7" s="11" t="inlineStr">
        <is>
          <t>—</t>
        </is>
      </c>
      <c r="D7" s="10" t="n">
        <v>0.1</v>
      </c>
      <c r="E7" s="16" t="n">
        <v>4</v>
      </c>
      <c r="F7" s="7" t="n">
        <v>0</v>
      </c>
      <c r="G7" s="22">
        <f>IF(B7&lt;Inputs!$B$7,Inputs!$B$5,Inputs!$B$3)</f>
        <v/>
      </c>
      <c r="H7" s="23">
        <f>IF(B7&lt;Inputs!$B$7,Inputs!$B$6,Inputs!$B$4)</f>
        <v/>
      </c>
      <c r="I7" s="24">
        <f>B7*(Inputs!$B$2+G7+Inputs!$B$9+Inputs!$B$11+Inputs!$B$12*Inputs!$B$13/(1+Inputs!$B$13))+H7</f>
        <v/>
      </c>
      <c r="J7" s="24">
        <f>B7-I7-F7-Inputs!$B$14</f>
        <v/>
      </c>
      <c r="K7" s="24">
        <f>B7*D7</f>
        <v/>
      </c>
      <c r="L7" s="25" t="inlineStr">
        <is>
          <t>Pod of Four + Founder cosmetics ×4 + 4 Founders credits + Making-of PDF.</t>
        </is>
      </c>
      <c r="M7" s="25" t="inlineStr">
        <is>
          <t>Committed groups, S3</t>
        </is>
      </c>
      <c r="N7" s="25" t="inlineStr">
        <is>
          <t>Keys Jul 2027 · cosmetics at 1.0</t>
        </is>
      </c>
      <c r="O7" s="25" t="inlineStr">
        <is>
          <t>Medium</t>
        </is>
      </c>
      <c r="P7" s="25" t="inlineStr">
        <is>
          <t>Same as Founding Diver.</t>
        </is>
      </c>
    </row>
    <row r="8">
      <c r="A8" s="5" t="inlineStr">
        <is>
          <t>Name the Trawler (limited)</t>
        </is>
      </c>
      <c r="B8" s="8" t="n">
        <v>199</v>
      </c>
      <c r="C8" s="11" t="n">
        <v>25</v>
      </c>
      <c r="D8" s="10" t="n">
        <v>0.03</v>
      </c>
      <c r="E8" s="16" t="n">
        <v>1</v>
      </c>
      <c r="F8" s="7" t="n">
        <v>2</v>
      </c>
      <c r="G8" s="22">
        <f>IF(B8&lt;Inputs!$B$7,Inputs!$B$5,Inputs!$B$3)</f>
        <v/>
      </c>
      <c r="H8" s="23">
        <f>IF(B8&lt;Inputs!$B$7,Inputs!$B$6,Inputs!$B$4)</f>
        <v/>
      </c>
      <c r="I8" s="24">
        <f>B8*(Inputs!$B$2+G8+Inputs!$B$9+Inputs!$B$11+Inputs!$B$12*Inputs!$B$13/(1+Inputs!$B$13))+H8</f>
        <v/>
      </c>
      <c r="J8" s="24">
        <f>B8-I8-F8-Inputs!$B$14</f>
        <v/>
      </c>
      <c r="K8" s="24">
        <f>B8*D8</f>
        <v/>
      </c>
      <c r="L8" s="25" t="inlineStr">
        <is>
          <t>Founding Diver + your name (moderated) painted on the trawler that sweeps the reef — one name shown per round, rotating.</t>
        </is>
      </c>
      <c r="M8" s="25" t="inlineStr">
        <is>
          <t>Superfans</t>
        </is>
      </c>
      <c r="N8" s="25" t="inlineStr">
        <is>
          <t>At 1.0</t>
        </is>
      </c>
      <c r="O8" s="25" t="inlineStr">
        <is>
          <t>Medium</t>
        </is>
      </c>
      <c r="P8" s="25" t="inlineStr">
        <is>
          <t>Moderation of names; ~0.5 h each (in Labor).</t>
        </is>
      </c>
    </row>
    <row r="10">
      <c r="A10" s="17" t="inlineStr">
        <is>
          <t>Mix check (must be 100%)</t>
        </is>
      </c>
      <c r="D10" s="26">
        <f>SUM(D2:D8)</f>
        <v/>
      </c>
    </row>
    <row r="11">
      <c r="A11" s="17" t="inlineStr">
        <is>
          <t>Blended average pledge (EUR)</t>
        </is>
      </c>
      <c r="B11" s="27">
        <f>SUMPRODUCT(B2:B8,D2:D8)/SUM(D2:D8)</f>
        <v/>
      </c>
    </row>
    <row r="12">
      <c r="A12" s="17" t="inlineStr">
        <is>
          <t>Effective processing % (dollar-weighted)</t>
        </is>
      </c>
      <c r="B12" s="26">
        <f>SUMPRODUCT(G2:G8,K2:K8)/SUM(K2:K8)</f>
        <v/>
      </c>
    </row>
    <row r="13">
      <c r="A13" s="17" t="inlineStr">
        <is>
          <t>Effective fixed fee per pledge (EUR)</t>
        </is>
      </c>
      <c r="B13" s="27">
        <f>SUMPRODUCT(H2:H8,D2:D8)/SUM(D2:D8)</f>
        <v/>
      </c>
    </row>
    <row r="14">
      <c r="A14" s="17" t="inlineStr">
        <is>
          <t>Tier fulfilment per backer, blended (EUR)</t>
        </is>
      </c>
      <c r="B14" s="27">
        <f>SUMPRODUCT(F2:F8,D2:D8)/SUM(D2:D8)</f>
        <v/>
      </c>
    </row>
    <row r="15">
      <c r="A15" s="17" t="inlineStr">
        <is>
          <t>Steam keys per backer, blended</t>
        </is>
      </c>
      <c r="B15" s="28">
        <f>SUMPRODUCT(E2:E8,D2:D8)/SUM(D2:D8)</f>
        <v/>
      </c>
    </row>
    <row r="17">
      <c r="A17" s="2" t="inlineStr">
        <is>
          <t>Mix shares are ASSUMPTIONS informed by comparable campaigns (01 §3.3: cheapest game tier and friend packs draw most backers). Replace with real data after launch day 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70" customWidth="1" min="5" max="5"/>
  </cols>
  <sheetData>
    <row r="1">
      <c r="A1" s="4" t="inlineStr">
        <is>
          <t>Line</t>
        </is>
      </c>
      <c r="B1" s="4" t="inlineStr">
        <is>
          <t>MVD</t>
        </is>
      </c>
      <c r="C1" s="4" t="inlineStr">
        <is>
          <t>Realistic</t>
        </is>
      </c>
      <c r="D1" s="4" t="inlineStr">
        <is>
          <t>Expanded</t>
        </is>
      </c>
      <c r="E1" s="4" t="inlineStr">
        <is>
          <t>Notes</t>
        </is>
      </c>
    </row>
    <row r="2" ht="28" customHeight="1">
      <c r="A2" s="29" t="inlineStr">
        <is>
          <t>Scope (what backers are promised)</t>
        </is>
      </c>
      <c r="B2" s="30" t="inlineStr">
        <is>
          <t>Current game, finished &amp; polished</t>
        </is>
      </c>
      <c r="C2" s="30" t="inlineStr">
        <is>
          <t>+ 2nd map, 2 tasks, 6 languages, score, Deck</t>
        </is>
      </c>
      <c r="D2" s="30" t="inlineStr">
        <is>
          <t>+ 3rd map, AI fill-ins, 2nd shark</t>
        </is>
      </c>
      <c r="E2" s="29" t="inlineStr">
        <is>
          <t>Only the funded scenario's scope may be promised (05).</t>
        </is>
      </c>
    </row>
    <row r="3" ht="28" customHeight="1">
      <c r="A3" s="29" t="inlineStr">
        <is>
          <t>Remaining labor (hours)</t>
        </is>
      </c>
      <c r="B3" s="31">
        <f>Labor!B23</f>
        <v/>
      </c>
      <c r="C3" s="31">
        <f>Labor!C23</f>
        <v/>
      </c>
      <c r="D3" s="31">
        <f>Labor!D23</f>
        <v/>
      </c>
      <c r="E3" s="29" t="inlineStr"/>
    </row>
    <row r="4" ht="28" customHeight="1">
      <c r="A4" s="32" t="inlineStr">
        <is>
          <t>Stipend paid to team (EUR per hour, fully loaded)</t>
        </is>
      </c>
      <c r="B4" s="33" t="n">
        <v>10</v>
      </c>
      <c r="C4" s="33" t="n">
        <v>12</v>
      </c>
      <c r="D4" s="33" t="n">
        <v>15</v>
      </c>
      <c r="E4" s="29" t="inlineStr">
        <is>
          <t>ASSUMPTION — a modest stipend so members can commit hours; includes employer/freelancer social charges. Team must confirm.</t>
        </is>
      </c>
    </row>
    <row r="5" ht="28" customHeight="1">
      <c r="A5" s="32" t="inlineStr">
        <is>
          <t>Share of hours paid from the campaign</t>
        </is>
      </c>
      <c r="B5" s="34" t="n">
        <v>0.5</v>
      </c>
      <c r="C5" s="34" t="n">
        <v>1</v>
      </c>
      <c r="D5" s="34" t="n">
        <v>1</v>
      </c>
      <c r="E5" s="29" t="inlineStr">
        <is>
          <t>MVD pays half the hours; the rest is unpaid founder time (disclosed below).</t>
        </is>
      </c>
    </row>
    <row r="6" ht="28" customHeight="1">
      <c r="A6" s="29" t="inlineStr">
        <is>
          <t>Team stipends (EUR)</t>
        </is>
      </c>
      <c r="B6" s="35">
        <f>B3*B4*B5</f>
        <v/>
      </c>
      <c r="C6" s="35">
        <f>C3*C4*C5</f>
        <v/>
      </c>
      <c r="D6" s="35">
        <f>D3*D4*D5</f>
        <v/>
      </c>
      <c r="E6" s="29" t="inlineStr"/>
    </row>
    <row r="7" ht="28" customHeight="1">
      <c r="A7" s="29" t="inlineStr">
        <is>
          <t>Non-labor cash costs (EUR)</t>
        </is>
      </c>
      <c r="B7" s="36">
        <f>Costs!F20</f>
        <v/>
      </c>
      <c r="C7" s="36">
        <f>Costs!G20</f>
        <v/>
      </c>
      <c r="D7" s="36">
        <f>Costs!H20</f>
        <v/>
      </c>
      <c r="E7" s="29" t="inlineStr"/>
    </row>
    <row r="8" ht="28" customHeight="1">
      <c r="A8" s="29" t="inlineStr">
        <is>
          <t>Subtotal</t>
        </is>
      </c>
      <c r="B8" s="35">
        <f>B6+B7</f>
        <v/>
      </c>
      <c r="C8" s="35">
        <f>C6+C7</f>
        <v/>
      </c>
      <c r="D8" s="35">
        <f>D6+D7</f>
        <v/>
      </c>
      <c r="E8" s="29" t="inlineStr"/>
    </row>
    <row r="9" ht="28" customHeight="1">
      <c r="A9" s="29" t="inlineStr">
        <is>
          <t>Contingency</t>
        </is>
      </c>
      <c r="B9" s="35">
        <f>B8*Inputs!$B$23</f>
        <v/>
      </c>
      <c r="C9" s="35">
        <f>C8*Inputs!$B$23</f>
        <v/>
      </c>
      <c r="D9" s="35">
        <f>D8*Inputs!$B$23</f>
        <v/>
      </c>
      <c r="E9" s="29" t="inlineStr"/>
    </row>
    <row r="10" ht="28" customHeight="1">
      <c r="A10" s="32" t="inlineStr">
        <is>
          <t>TOTAL DEVELOPMENT BUDGET (cash the team must receive)</t>
        </is>
      </c>
      <c r="B10" s="37">
        <f>B8+B9</f>
        <v/>
      </c>
      <c r="C10" s="37">
        <f>C8+C9</f>
        <v/>
      </c>
      <c r="D10" s="37">
        <f>D8+D9</f>
        <v/>
      </c>
      <c r="E10" s="29" t="inlineStr"/>
    </row>
    <row r="11" ht="28" customHeight="1">
      <c r="A11" s="29" t="inlineStr">
        <is>
          <t>Average pledge used (EUR)</t>
        </is>
      </c>
      <c r="B11" s="38">
        <f>Rewards!$B$11</f>
        <v/>
      </c>
      <c r="C11" s="38">
        <f>Rewards!$B$11</f>
        <v/>
      </c>
      <c r="D11" s="38">
        <f>Rewards!$B$11</f>
        <v/>
      </c>
      <c r="E11" s="29" t="inlineStr">
        <is>
          <t>From Rewards (blended mix).</t>
        </is>
      </c>
    </row>
    <row r="12" ht="28" customHeight="1">
      <c r="A12" s="29" t="inlineStr">
        <is>
          <t>Deductions as % of pledged (fee + proc. + drops + tax + VAT + per-pledge costs)</t>
        </is>
      </c>
      <c r="B12" s="39">
        <f>Inputs!$B$2+Rewards!$B$12+Inputs!$B$9+Inputs!$B$11+Inputs!$B$12*Inputs!$B$13/(1+Inputs!$B$13)+(Rewards!$B$13+Inputs!$B$14+Rewards!$B$14)/B11</f>
        <v/>
      </c>
      <c r="C12" s="39">
        <f>Inputs!$B$2+Rewards!$B$12+Inputs!$B$9+Inputs!$B$11+Inputs!$B$12*Inputs!$B$13/(1+Inputs!$B$13)+(Rewards!$B$13+Inputs!$B$14+Rewards!$B$14)/C11</f>
        <v/>
      </c>
      <c r="D12" s="39">
        <f>Inputs!$B$2+Rewards!$B$12+Inputs!$B$9+Inputs!$B$11+Inputs!$B$12*Inputs!$B$13/(1+Inputs!$B$13)+(Rewards!$B$13+Inputs!$B$14+Rewards!$B$14)/D11</f>
        <v/>
      </c>
      <c r="E12" s="29" t="inlineStr"/>
    </row>
    <row r="13" ht="28" customHeight="1">
      <c r="A13" s="29" t="inlineStr">
        <is>
          <t>Goal before rounding</t>
        </is>
      </c>
      <c r="B13" s="35">
        <f>B10/(1-B12)</f>
        <v/>
      </c>
      <c r="C13" s="35">
        <f>C10/(1-C12)</f>
        <v/>
      </c>
      <c r="D13" s="35">
        <f>D10/(1-D12)</f>
        <v/>
      </c>
      <c r="E13" s="29" t="inlineStr"/>
    </row>
    <row r="14" ht="28" customHeight="1">
      <c r="A14" s="32" t="inlineStr">
        <is>
          <t>FUNDING GOAL (rounded up to €500)</t>
        </is>
      </c>
      <c r="B14" s="37">
        <f>ROUNDUP(B13/500,0)*500</f>
        <v/>
      </c>
      <c r="C14" s="37">
        <f>ROUNDUP(C13/500,0)*500</f>
        <v/>
      </c>
      <c r="D14" s="37">
        <f>ROUNDUP(D13/500,0)*500</f>
        <v/>
      </c>
      <c r="E14" s="29" t="inlineStr">
        <is>
          <t>Kickstarter test: at exactly 100% can we deliver? Yes by construction.</t>
        </is>
      </c>
    </row>
    <row r="15" ht="28" customHeight="1">
      <c r="A15" s="29" t="inlineStr">
        <is>
          <t>Backers needed at average pledge</t>
        </is>
      </c>
      <c r="B15" s="40">
        <f>ROUNDUP(B14/B11,0)</f>
        <v/>
      </c>
      <c r="C15" s="40">
        <f>ROUNDUP(C14/C11,0)</f>
        <v/>
      </c>
      <c r="D15" s="40">
        <f>ROUNDUP(D14/D11,0)</f>
        <v/>
      </c>
      <c r="E15" s="29" t="inlineStr"/>
    </row>
    <row r="16" ht="28" customHeight="1">
      <c r="A16" s="29" t="inlineStr">
        <is>
          <t xml:space="preserve">  Kickstarter fee at goal</t>
        </is>
      </c>
      <c r="B16" s="35">
        <f>B14*Inputs!$B$2</f>
        <v/>
      </c>
      <c r="C16" s="35">
        <f>C14*Inputs!$B$2</f>
        <v/>
      </c>
      <c r="D16" s="35">
        <f>D14*Inputs!$B$2</f>
        <v/>
      </c>
      <c r="E16" s="29" t="inlineStr"/>
    </row>
    <row r="17" ht="28" customHeight="1">
      <c r="A17" s="29" t="inlineStr">
        <is>
          <t xml:space="preserve">  Payment processing at goal</t>
        </is>
      </c>
      <c r="B17" s="35">
        <f>B14*Rewards!$B$12+B15*Rewards!$B$13</f>
        <v/>
      </c>
      <c r="C17" s="35">
        <f>C14*Rewards!$B$12+C15*Rewards!$B$13</f>
        <v/>
      </c>
      <c r="D17" s="35">
        <f>D14*Rewards!$B$12+D15*Rewards!$B$13</f>
        <v/>
      </c>
      <c r="E17" s="29" t="inlineStr"/>
    </row>
    <row r="18" ht="28" customHeight="1">
      <c r="A18" s="29" t="inlineStr">
        <is>
          <t xml:space="preserve">  Failed payments at goal</t>
        </is>
      </c>
      <c r="B18" s="35">
        <f>B14*Inputs!$B$9</f>
        <v/>
      </c>
      <c r="C18" s="35">
        <f>C14*Inputs!$B$9</f>
        <v/>
      </c>
      <c r="D18" s="35">
        <f>D14*Inputs!$B$9</f>
        <v/>
      </c>
      <c r="E18" s="29" t="inlineStr"/>
    </row>
    <row r="19" ht="28" customHeight="1">
      <c r="A19" s="29" t="inlineStr">
        <is>
          <t xml:space="preserve">  Tax &amp; compliance reserve</t>
        </is>
      </c>
      <c r="B19" s="35">
        <f>B14*Inputs!$B$11</f>
        <v/>
      </c>
      <c r="C19" s="35">
        <f>C14*Inputs!$B$11</f>
        <v/>
      </c>
      <c r="D19" s="35">
        <f>D14*Inputs!$B$11</f>
        <v/>
      </c>
      <c r="E19" s="29" t="inlineStr"/>
    </row>
    <row r="20" ht="28" customHeight="1">
      <c r="A20" s="29" t="inlineStr">
        <is>
          <t xml:space="preserve">  VAT inside pledges (EU consumers)</t>
        </is>
      </c>
      <c r="B20" s="35">
        <f>B14*Inputs!$B$12*Inputs!$B$13/(1+Inputs!$B$13)</f>
        <v/>
      </c>
      <c r="C20" s="35">
        <f>C14*Inputs!$B$12*Inputs!$B$13/(1+Inputs!$B$13)</f>
        <v/>
      </c>
      <c r="D20" s="35">
        <f>D14*Inputs!$B$12*Inputs!$B$13/(1+Inputs!$B$13)</f>
        <v/>
      </c>
      <c r="E20" s="29" t="inlineStr"/>
    </row>
    <row r="21" ht="28" customHeight="1">
      <c r="A21" s="29" t="inlineStr">
        <is>
          <t xml:space="preserve">  Reward fulfilment</t>
        </is>
      </c>
      <c r="B21" s="35">
        <f>B15*(Inputs!$B$14+Rewards!$B$14)</f>
        <v/>
      </c>
      <c r="C21" s="35">
        <f>C15*(Inputs!$B$14+Rewards!$B$14)</f>
        <v/>
      </c>
      <c r="D21" s="35">
        <f>D15*(Inputs!$B$14+Rewards!$B$14)</f>
        <v/>
      </c>
      <c r="E21" s="29" t="inlineStr"/>
    </row>
    <row r="22" ht="28" customHeight="1">
      <c r="A22" s="32" t="inlineStr">
        <is>
          <t>NET PROCEEDS at exactly 100% funded</t>
        </is>
      </c>
      <c r="B22" s="37">
        <f>B14-B16-B17-B18-B19-B20-B21</f>
        <v/>
      </c>
      <c r="C22" s="37">
        <f>C14-C16-C17-C18-C19-C20-C21</f>
        <v/>
      </c>
      <c r="D22" s="37">
        <f>D14-D16-D17-D18-D19-D20-D21</f>
        <v/>
      </c>
      <c r="E22" s="29" t="inlineStr"/>
    </row>
    <row r="23" ht="28" customHeight="1">
      <c r="A23" s="29" t="inlineStr">
        <is>
          <t>Net minus budget (must be ≥ 0)</t>
        </is>
      </c>
      <c r="B23" s="35">
        <f>B22-B10</f>
        <v/>
      </c>
      <c r="C23" s="35">
        <f>C22-C10</f>
        <v/>
      </c>
      <c r="D23" s="35">
        <f>D22-D10</f>
        <v/>
      </c>
      <c r="E23" s="29" t="inlineStr"/>
    </row>
    <row r="24" ht="28" customHeight="1">
      <c r="A24" s="29" t="inlineStr">
        <is>
          <t>Backers needed if average pledge = €15</t>
        </is>
      </c>
      <c r="B24" s="41">
        <f>ROUNDUP(B14/15,0)</f>
        <v/>
      </c>
      <c r="C24" s="41">
        <f>ROUNDUP(C14/15,0)</f>
        <v/>
      </c>
      <c r="D24" s="41">
        <f>ROUNDUP(D14/15,0)</f>
        <v/>
      </c>
      <c r="E24" s="29" t="inlineStr"/>
    </row>
    <row r="25" ht="28" customHeight="1">
      <c r="A25" s="29" t="inlineStr">
        <is>
          <t>Backers needed if average pledge = €22</t>
        </is>
      </c>
      <c r="B25" s="41">
        <f>ROUNDUP(B14/22,0)</f>
        <v/>
      </c>
      <c r="C25" s="41">
        <f>ROUNDUP(C14/22,0)</f>
        <v/>
      </c>
      <c r="D25" s="41">
        <f>ROUNDUP(D14/22,0)</f>
        <v/>
      </c>
      <c r="E25" s="29" t="inlineStr"/>
    </row>
    <row r="26" ht="28" customHeight="1">
      <c r="A26" s="29" t="inlineStr">
        <is>
          <t>Backers needed if average pledge = €30</t>
        </is>
      </c>
      <c r="B26" s="41">
        <f>ROUNDUP(B14/30,0)</f>
        <v/>
      </c>
      <c r="C26" s="41">
        <f>ROUNDUP(C14/30,0)</f>
        <v/>
      </c>
      <c r="D26" s="41">
        <f>ROUNDUP(D14/30,0)</f>
        <v/>
      </c>
      <c r="E26" s="29" t="inlineStr"/>
    </row>
    <row r="27" ht="28" customHeight="1">
      <c r="A27" s="29" t="inlineStr">
        <is>
          <t>Backers needed if average pledge = €40</t>
        </is>
      </c>
      <c r="B27" s="41">
        <f>ROUNDUP(B14/40,0)</f>
        <v/>
      </c>
      <c r="C27" s="41">
        <f>ROUNDUP(C14/40,0)</f>
        <v/>
      </c>
      <c r="D27" s="41">
        <f>ROUNDUP(D14/40,0)</f>
        <v/>
      </c>
      <c r="E27" s="29" t="inlineStr"/>
    </row>
    <row r="28" ht="28" customHeight="1">
      <c r="A28" s="29" t="inlineStr">
        <is>
          <t>Steam keys owed at goal (all tiers)</t>
        </is>
      </c>
      <c r="B28" s="41">
        <f>ROUNDUP(B15*Rewards!$B$15,0)</f>
        <v/>
      </c>
      <c r="C28" s="41">
        <f>ROUNDUP(C15*Rewards!$B$15,0)</f>
        <v/>
      </c>
      <c r="D28" s="41">
        <f>ROUNDUP(D15*Rewards!$B$15,0)</f>
        <v/>
      </c>
      <c r="E28" s="29" t="inlineStr">
        <is>
          <t>Beta access beyond the cap is served with Steam Playtest keys (free, never sold).</t>
        </is>
      </c>
    </row>
    <row r="29" ht="28" customHeight="1">
      <c r="A29" s="29" t="inlineStr">
        <is>
          <t>Keys within Steam's 2,500 beta-key cap?</t>
        </is>
      </c>
      <c r="B29" s="29">
        <f>IF(B28&lt;=Inputs!$B$32,"Yes","No — use Playtest keys for the rest")</f>
        <v/>
      </c>
      <c r="C29" s="29">
        <f>IF(C28&lt;=Inputs!$B$32,"Yes","No — use Playtest keys for the rest")</f>
        <v/>
      </c>
      <c r="D29" s="29">
        <f>IF(D28&lt;=Inputs!$B$32,"Yes","No — use Playtest keys for the rest")</f>
        <v/>
      </c>
      <c r="E29" s="29" t="inlineStr"/>
    </row>
    <row r="30" ht="28" customHeight="1">
      <c r="A30" s="29" t="inlineStr">
        <is>
          <t>Development time at team capacity (months)</t>
        </is>
      </c>
      <c r="B30" s="42">
        <f>B3/Inputs!$B$24/4.345</f>
        <v/>
      </c>
      <c r="C30" s="42">
        <f>C3/Inputs!$B$24/4.345</f>
        <v/>
      </c>
      <c r="D30" s="42">
        <f>D3/Inputs!$B$24/4.345</f>
        <v/>
      </c>
      <c r="E30" s="29" t="inlineStr">
        <is>
          <t>Hours ÷ weekly capacity. Add campaign + payout lag (~2 months) for calendar dates.</t>
        </is>
      </c>
    </row>
    <row r="31" ht="28" customHeight="1">
      <c r="A31" s="29" t="inlineStr">
        <is>
          <t>Promised full-release window (calendar, with buffer)</t>
        </is>
      </c>
      <c r="B31" s="30" t="inlineStr">
        <is>
          <t>Q4 2027</t>
        </is>
      </c>
      <c r="C31" s="30" t="inlineStr">
        <is>
          <t>Q1 2028 (2nd map Q2 2028)</t>
        </is>
      </c>
      <c r="D31" s="30" t="inlineStr">
        <is>
          <t>Q4 2028</t>
        </is>
      </c>
      <c r="E31" s="29" t="inlineStr">
        <is>
          <t>Campaign assumed Apr–May 2027 (after Next Fest Feb 2027). Buffer ≥ 30% on top of the hours estimate.</t>
        </is>
      </c>
    </row>
    <row r="32" ht="28" customHeight="1">
      <c r="A32" s="29" t="inlineStr">
        <is>
          <t>Unpaid founder labor value (NOT cash, NOT in goal)</t>
        </is>
      </c>
      <c r="B32" s="35">
        <f>B3*Inputs!$B$25-B6</f>
        <v/>
      </c>
      <c r="C32" s="35">
        <f>C3*Inputs!$B$25-C6</f>
        <v/>
      </c>
      <c r="D32" s="35">
        <f>D3*Inputs!$B$25-D6</f>
        <v/>
      </c>
      <c r="E32" s="29" t="inlineStr">
        <is>
          <t>Disclosed so nobody mistakes the goal for the game's real cost.</t>
        </is>
      </c>
    </row>
    <row r="33" ht="28" customHeight="1">
      <c r="A33" s="29" t="inlineStr">
        <is>
          <t>Major financial risks</t>
        </is>
      </c>
      <c r="B33" s="30" t="inlineStr">
        <is>
          <t>Team availability; any cost overrun eats unpaid time</t>
        </is>
      </c>
      <c r="C33" s="30" t="inlineStr">
        <is>
          <t>Hours under-estimated for map 2; translation quality</t>
        </is>
      </c>
      <c r="D33" s="30" t="inlineStr">
        <is>
          <t>Scope creep; AI fill-ins are technically risky</t>
        </is>
      </c>
      <c r="E33" s="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3" t="inlineStr">
        <is>
          <t>1. Backers needed by goal and average pledge</t>
        </is>
      </c>
    </row>
    <row r="2">
      <c r="A2" s="17" t="inlineStr">
        <is>
          <t>Average pledge →</t>
        </is>
      </c>
      <c r="B2" s="8" t="n">
        <v>15</v>
      </c>
      <c r="C2" s="8" t="n">
        <v>20</v>
      </c>
      <c r="D2" s="8" t="n">
        <v>25</v>
      </c>
      <c r="E2" s="8" t="n">
        <v>30</v>
      </c>
      <c r="F2" s="8" t="n">
        <v>35</v>
      </c>
      <c r="G2" s="8" t="n">
        <v>40</v>
      </c>
    </row>
    <row r="3">
      <c r="A3" s="44">
        <f>"MVD goal "&amp;TEXT(Scenarios!B14,"€#,##0")</f>
        <v/>
      </c>
      <c r="B3" s="45">
        <f>ROUNDUP(Scenarios!$B$14/B$2,0)</f>
        <v/>
      </c>
      <c r="C3" s="45">
        <f>ROUNDUP(Scenarios!$B$14/C$2,0)</f>
        <v/>
      </c>
      <c r="D3" s="45">
        <f>ROUNDUP(Scenarios!$B$14/D$2,0)</f>
        <v/>
      </c>
      <c r="E3" s="45">
        <f>ROUNDUP(Scenarios!$B$14/E$2,0)</f>
        <v/>
      </c>
      <c r="F3" s="45">
        <f>ROUNDUP(Scenarios!$B$14/F$2,0)</f>
        <v/>
      </c>
      <c r="G3" s="45">
        <f>ROUNDUP(Scenarios!$B$14/G$2,0)</f>
        <v/>
      </c>
    </row>
    <row r="4">
      <c r="A4" s="44">
        <f>"Realistic goal "&amp;TEXT(Scenarios!C14,"€#,##0")</f>
        <v/>
      </c>
      <c r="B4" s="45">
        <f>ROUNDUP(Scenarios!$C$14/B$2,0)</f>
        <v/>
      </c>
      <c r="C4" s="45">
        <f>ROUNDUP(Scenarios!$C$14/C$2,0)</f>
        <v/>
      </c>
      <c r="D4" s="45">
        <f>ROUNDUP(Scenarios!$C$14/D$2,0)</f>
        <v/>
      </c>
      <c r="E4" s="45">
        <f>ROUNDUP(Scenarios!$C$14/E$2,0)</f>
        <v/>
      </c>
      <c r="F4" s="45">
        <f>ROUNDUP(Scenarios!$C$14/F$2,0)</f>
        <v/>
      </c>
      <c r="G4" s="45">
        <f>ROUNDUP(Scenarios!$C$14/G$2,0)</f>
        <v/>
      </c>
    </row>
    <row r="5">
      <c r="A5" s="44">
        <f>"Expanded goal "&amp;TEXT(Scenarios!D14,"€#,##0")</f>
        <v/>
      </c>
      <c r="B5" s="45">
        <f>ROUNDUP(Scenarios!$D$14/B$2,0)</f>
        <v/>
      </c>
      <c r="C5" s="45">
        <f>ROUNDUP(Scenarios!$D$14/C$2,0)</f>
        <v/>
      </c>
      <c r="D5" s="45">
        <f>ROUNDUP(Scenarios!$D$14/D$2,0)</f>
        <v/>
      </c>
      <c r="E5" s="45">
        <f>ROUNDUP(Scenarios!$D$14/E$2,0)</f>
        <v/>
      </c>
      <c r="F5" s="45">
        <f>ROUNDUP(Scenarios!$D$14/F$2,0)</f>
        <v/>
      </c>
      <c r="G5" s="45">
        <f>ROUNDUP(Scenarios!$D$14/G$2,0)</f>
        <v/>
      </c>
    </row>
    <row r="8">
      <c r="A8" s="43" t="inlineStr">
        <is>
          <t>2. Cost overrun: Realistic budget if hours run over and stipend changes</t>
        </is>
      </c>
    </row>
    <row r="9">
      <c r="A9" s="17" t="inlineStr">
        <is>
          <t>Stipend €/h ↓ · hours multiplier →</t>
        </is>
      </c>
      <c r="B9" s="46" t="n">
        <v>0.8</v>
      </c>
      <c r="C9" s="46" t="n">
        <v>1</v>
      </c>
      <c r="D9" s="46" t="n">
        <v>1.25</v>
      </c>
      <c r="E9" s="46" t="n">
        <v>1.5</v>
      </c>
    </row>
    <row r="10">
      <c r="A10" s="8" t="n">
        <v>8</v>
      </c>
      <c r="B10" s="20">
        <f>(Scenarios!$C$3*B$9*$A10*Scenarios!$C$5+Scenarios!$C$7)*(1+Inputs!$B$23)</f>
        <v/>
      </c>
      <c r="C10" s="20">
        <f>(Scenarios!$C$3*C$9*$A10*Scenarios!$C$5+Scenarios!$C$7)*(1+Inputs!$B$23)</f>
        <v/>
      </c>
      <c r="D10" s="20">
        <f>(Scenarios!$C$3*D$9*$A10*Scenarios!$C$5+Scenarios!$C$7)*(1+Inputs!$B$23)</f>
        <v/>
      </c>
      <c r="E10" s="20">
        <f>(Scenarios!$C$3*E$9*$A10*Scenarios!$C$5+Scenarios!$C$7)*(1+Inputs!$B$23)</f>
        <v/>
      </c>
    </row>
    <row r="11">
      <c r="A11" s="8" t="n">
        <v>10</v>
      </c>
      <c r="B11" s="20">
        <f>(Scenarios!$C$3*B$9*$A11*Scenarios!$C$5+Scenarios!$C$7)*(1+Inputs!$B$23)</f>
        <v/>
      </c>
      <c r="C11" s="20">
        <f>(Scenarios!$C$3*C$9*$A11*Scenarios!$C$5+Scenarios!$C$7)*(1+Inputs!$B$23)</f>
        <v/>
      </c>
      <c r="D11" s="20">
        <f>(Scenarios!$C$3*D$9*$A11*Scenarios!$C$5+Scenarios!$C$7)*(1+Inputs!$B$23)</f>
        <v/>
      </c>
      <c r="E11" s="20">
        <f>(Scenarios!$C$3*E$9*$A11*Scenarios!$C$5+Scenarios!$C$7)*(1+Inputs!$B$23)</f>
        <v/>
      </c>
    </row>
    <row r="12">
      <c r="A12" s="8" t="n">
        <v>12</v>
      </c>
      <c r="B12" s="20">
        <f>(Scenarios!$C$3*B$9*$A12*Scenarios!$C$5+Scenarios!$C$7)*(1+Inputs!$B$23)</f>
        <v/>
      </c>
      <c r="C12" s="20">
        <f>(Scenarios!$C$3*C$9*$A12*Scenarios!$C$5+Scenarios!$C$7)*(1+Inputs!$B$23)</f>
        <v/>
      </c>
      <c r="D12" s="20">
        <f>(Scenarios!$C$3*D$9*$A12*Scenarios!$C$5+Scenarios!$C$7)*(1+Inputs!$B$23)</f>
        <v/>
      </c>
      <c r="E12" s="20">
        <f>(Scenarios!$C$3*E$9*$A12*Scenarios!$C$5+Scenarios!$C$7)*(1+Inputs!$B$23)</f>
        <v/>
      </c>
    </row>
    <row r="13">
      <c r="A13" s="8" t="n">
        <v>15</v>
      </c>
      <c r="B13" s="20">
        <f>(Scenarios!$C$3*B$9*$A13*Scenarios!$C$5+Scenarios!$C$7)*(1+Inputs!$B$23)</f>
        <v/>
      </c>
      <c r="C13" s="20">
        <f>(Scenarios!$C$3*C$9*$A13*Scenarios!$C$5+Scenarios!$C$7)*(1+Inputs!$B$23)</f>
        <v/>
      </c>
      <c r="D13" s="20">
        <f>(Scenarios!$C$3*D$9*$A13*Scenarios!$C$5+Scenarios!$C$7)*(1+Inputs!$B$23)</f>
        <v/>
      </c>
      <c r="E13" s="20">
        <f>(Scenarios!$C$3*E$9*$A13*Scenarios!$C$5+Scenarios!$C$7)*(1+Inputs!$B$23)</f>
        <v/>
      </c>
    </row>
    <row r="14">
      <c r="A14" s="8" t="n">
        <v>20</v>
      </c>
      <c r="B14" s="20">
        <f>(Scenarios!$C$3*B$9*$A14*Scenarios!$C$5+Scenarios!$C$7)*(1+Inputs!$B$23)</f>
        <v/>
      </c>
      <c r="C14" s="20">
        <f>(Scenarios!$C$3*C$9*$A14*Scenarios!$C$5+Scenarios!$C$7)*(1+Inputs!$B$23)</f>
        <v/>
      </c>
      <c r="D14" s="20">
        <f>(Scenarios!$C$3*D$9*$A14*Scenarios!$C$5+Scenarios!$C$7)*(1+Inputs!$B$23)</f>
        <v/>
      </c>
      <c r="E14" s="20">
        <f>(Scenarios!$C$3*E$9*$A14*Scenarios!$C$5+Scenarios!$C$7)*(1+Inputs!$B$23)</f>
        <v/>
      </c>
    </row>
    <row r="15">
      <c r="A15" s="17" t="inlineStr">
        <is>
          <t>Compare with the Realistic goal's net proceeds →</t>
        </is>
      </c>
      <c r="B15" s="47">
        <f>Scenarios!C22</f>
        <v/>
      </c>
    </row>
    <row r="17">
      <c r="A17" s="43" t="inlineStr">
        <is>
          <t>3. What the team receives if the MVD campaign over-funds</t>
        </is>
      </c>
    </row>
    <row r="18">
      <c r="A18" s="17" t="inlineStr">
        <is>
          <t>Funded % →</t>
        </is>
      </c>
      <c r="B18" s="48" t="n">
        <v>1</v>
      </c>
      <c r="C18" s="48" t="n">
        <v>1.25</v>
      </c>
      <c r="D18" s="48" t="n">
        <v>1.5</v>
      </c>
      <c r="E18" s="48" t="n">
        <v>2</v>
      </c>
      <c r="F18" s="48" t="n">
        <v>3</v>
      </c>
    </row>
    <row r="19">
      <c r="A19" s="5" t="inlineStr">
        <is>
          <t>Pledged (EUR)</t>
        </is>
      </c>
      <c r="B19" s="20">
        <f>Scenarios!$B$14*B18</f>
        <v/>
      </c>
      <c r="C19" s="20">
        <f>Scenarios!$B$14*C18</f>
        <v/>
      </c>
      <c r="D19" s="20">
        <f>Scenarios!$B$14*D18</f>
        <v/>
      </c>
      <c r="E19" s="20">
        <f>Scenarios!$B$14*E18</f>
        <v/>
      </c>
      <c r="F19" s="20">
        <f>Scenarios!$B$14*F18</f>
        <v/>
      </c>
    </row>
    <row r="20">
      <c r="A20" s="5" t="inlineStr">
        <is>
          <t>Net proceeds (EUR)</t>
        </is>
      </c>
      <c r="B20" s="20">
        <f>B19*(1-Scenarios!$B$12)</f>
        <v/>
      </c>
      <c r="C20" s="20">
        <f>C19*(1-Scenarios!$B$12)</f>
        <v/>
      </c>
      <c r="D20" s="20">
        <f>D19*(1-Scenarios!$B$12)</f>
        <v/>
      </c>
      <c r="E20" s="20">
        <f>E19*(1-Scenarios!$B$12)</f>
        <v/>
      </c>
      <c r="F20" s="20">
        <f>F19*(1-Scenarios!$B$12)</f>
        <v/>
      </c>
    </row>
    <row r="21">
      <c r="A21" s="5" t="inlineStr">
        <is>
          <t>Surplus over MVD budget (EUR)</t>
        </is>
      </c>
      <c r="B21" s="20">
        <f>B20-Scenarios!$B$10</f>
        <v/>
      </c>
      <c r="C21" s="20">
        <f>C20-Scenarios!$B$10</f>
        <v/>
      </c>
      <c r="D21" s="20">
        <f>D20-Scenarios!$B$10</f>
        <v/>
      </c>
      <c r="E21" s="20">
        <f>E20-Scenarios!$B$10</f>
        <v/>
      </c>
      <c r="F21" s="20">
        <f>F20-Scenarios!$B$10</f>
        <v/>
      </c>
    </row>
    <row r="22">
      <c r="A22" s="5" t="inlineStr">
        <is>
          <t>Covers Realistic budget?</t>
        </is>
      </c>
      <c r="B22" s="5">
        <f>IF(B20&gt;=Scenarios!$C$10,"Yes","No")</f>
        <v/>
      </c>
      <c r="C22" s="5">
        <f>IF(C20&gt;=Scenarios!$C$10,"Yes","No")</f>
        <v/>
      </c>
      <c r="D22" s="5">
        <f>IF(D20&gt;=Scenarios!$C$10,"Yes","No")</f>
        <v/>
      </c>
      <c r="E22" s="5">
        <f>IF(E20&gt;=Scenarios!$C$10,"Yes","No")</f>
        <v/>
      </c>
      <c r="F22" s="5">
        <f>IF(F20&gt;=Scenarios!$C$10,"Yes","No")</f>
        <v/>
      </c>
    </row>
    <row r="24">
      <c r="A24" s="43" t="inlineStr">
        <is>
          <t>4. Fee drag by average pledge (fixed fee matters for small pledges)</t>
        </is>
      </c>
    </row>
    <row r="25">
      <c r="A25" s="17" t="inlineStr">
        <is>
          <t>Average pledge →</t>
        </is>
      </c>
      <c r="B25" s="8" t="n">
        <v>15</v>
      </c>
      <c r="C25" s="8" t="n">
        <v>20</v>
      </c>
      <c r="D25" s="8" t="n">
        <v>25</v>
      </c>
      <c r="E25" s="8" t="n">
        <v>30</v>
      </c>
      <c r="F25" s="8" t="n">
        <v>35</v>
      </c>
      <c r="G25" s="8" t="n">
        <v>40</v>
      </c>
    </row>
    <row r="26">
      <c r="A26" s="5" t="inlineStr">
        <is>
          <t>Kickstarter + processing as % of pledge</t>
        </is>
      </c>
      <c r="B26" s="49">
        <f>Inputs!$B$2+IF(B25&lt;Inputs!$B$7,Inputs!$B$5+Inputs!$B$6/B25,Inputs!$B$3+Inputs!$B$4/B25)</f>
        <v/>
      </c>
      <c r="C26" s="49">
        <f>Inputs!$B$2+IF(C25&lt;Inputs!$B$7,Inputs!$B$5+Inputs!$B$6/C25,Inputs!$B$3+Inputs!$B$4/C25)</f>
        <v/>
      </c>
      <c r="D26" s="49">
        <f>Inputs!$B$2+IF(D25&lt;Inputs!$B$7,Inputs!$B$5+Inputs!$B$6/D25,Inputs!$B$3+Inputs!$B$4/D25)</f>
        <v/>
      </c>
      <c r="E26" s="49">
        <f>Inputs!$B$2+IF(E25&lt;Inputs!$B$7,Inputs!$B$5+Inputs!$B$6/E25,Inputs!$B$3+Inputs!$B$4/E25)</f>
        <v/>
      </c>
      <c r="F26" s="49">
        <f>Inputs!$B$2+IF(F25&lt;Inputs!$B$7,Inputs!$B$5+Inputs!$B$6/F25,Inputs!$B$3+Inputs!$B$4/F25)</f>
        <v/>
      </c>
      <c r="G26" s="49">
        <f>Inputs!$B$2+IF(G25&lt;Inputs!$B$7,Inputs!$B$5+Inputs!$B$6/G25,Inputs!$B$3+Inputs!$B$4/G25)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4" t="inlineStr">
        <is>
          <t>Audience needed before launch</t>
        </is>
      </c>
      <c r="B1" s="4" t="inlineStr">
        <is>
          <t>MVD</t>
        </is>
      </c>
      <c r="C1" s="4" t="inlineStr">
        <is>
          <t>Realistic</t>
        </is>
      </c>
      <c r="D1" s="4" t="inlineStr">
        <is>
          <t>Expanded</t>
        </is>
      </c>
      <c r="E1" s="4" t="inlineStr">
        <is>
          <t>Notes</t>
        </is>
      </c>
    </row>
    <row r="2">
      <c r="A2" s="17" t="inlineStr">
        <is>
          <t>Funding goal</t>
        </is>
      </c>
      <c r="B2" s="20">
        <f>Scenarios!B14</f>
        <v/>
      </c>
      <c r="C2" s="20">
        <f>Scenarios!C14</f>
        <v/>
      </c>
      <c r="D2" s="20">
        <f>Scenarios!D14</f>
        <v/>
      </c>
      <c r="E2" s="2" t="inlineStr"/>
    </row>
    <row r="3">
      <c r="A3" s="5" t="inlineStr">
        <is>
          <t>Backers needed (blended average pledge)</t>
        </is>
      </c>
      <c r="B3" s="45">
        <f>Scenarios!B15</f>
        <v/>
      </c>
      <c r="C3" s="45">
        <f>Scenarios!C15</f>
        <v/>
      </c>
      <c r="D3" s="45">
        <f>Scenarios!D15</f>
        <v/>
      </c>
      <c r="E3" s="2" t="inlineStr"/>
    </row>
    <row r="4">
      <c r="A4" s="5" t="inlineStr">
        <is>
          <t>Backers expected from followers + email</t>
        </is>
      </c>
      <c r="B4" s="45">
        <f>ROUNDUP(B3*Inputs!$B$26,0)</f>
        <v/>
      </c>
      <c r="C4" s="45">
        <f>ROUNDUP(C3*Inputs!$B$26,0)</f>
        <v/>
      </c>
      <c r="D4" s="45">
        <f>ROUNDUP(D3*Inputs!$B$26,0)</f>
        <v/>
      </c>
      <c r="E4" s="2" t="inlineStr">
        <is>
          <t>Inputs: share from followers.</t>
        </is>
      </c>
    </row>
    <row r="5">
      <c r="A5" s="5" t="inlineStr">
        <is>
          <t>KS pre-launch followers needed — LOW conversion</t>
        </is>
      </c>
      <c r="B5" s="45">
        <f>ROUNDUP(B4/Inputs!$B$27,0)</f>
        <v/>
      </c>
      <c r="C5" s="45">
        <f>ROUNDUP(C4/Inputs!$B$27,0)</f>
        <v/>
      </c>
      <c r="D5" s="45">
        <f>ROUNDUP(D4/Inputs!$B$27,0)</f>
        <v/>
      </c>
      <c r="E5" s="2" t="inlineStr">
        <is>
          <t>If conversion is 10%.</t>
        </is>
      </c>
    </row>
    <row r="6">
      <c r="A6" s="17" t="inlineStr">
        <is>
          <t>KS pre-launch followers needed — MID conversion</t>
        </is>
      </c>
      <c r="B6" s="45">
        <f>ROUNDUP(B4/Inputs!$B$28,0)</f>
        <v/>
      </c>
      <c r="C6" s="45">
        <f>ROUNDUP(C4/Inputs!$B$28,0)</f>
        <v/>
      </c>
      <c r="D6" s="45">
        <f>ROUNDUP(D4/Inputs!$B$28,0)</f>
        <v/>
      </c>
      <c r="E6" s="2" t="inlineStr">
        <is>
          <t>If conversion is 20%.</t>
        </is>
      </c>
    </row>
    <row r="7">
      <c r="A7" s="5" t="inlineStr">
        <is>
          <t>KS pre-launch followers needed — HIGH conversion</t>
        </is>
      </c>
      <c r="B7" s="45">
        <f>ROUNDUP(B4/Inputs!$B$29,0)</f>
        <v/>
      </c>
      <c r="C7" s="45">
        <f>ROUNDUP(C4/Inputs!$B$29,0)</f>
        <v/>
      </c>
      <c r="D7" s="45">
        <f>ROUNDUP(D4/Inputs!$B$29,0)</f>
        <v/>
      </c>
      <c r="E7" s="2" t="inlineStr">
        <is>
          <t>If conversion is 30%.</t>
        </is>
      </c>
    </row>
    <row r="8">
      <c r="A8" s="5" t="inlineStr">
        <is>
          <t>…or email subscribers needed (email conversion)</t>
        </is>
      </c>
      <c r="B8" s="45">
        <f>ROUNDUP(B4/Inputs!$B$30,0)</f>
        <v/>
      </c>
      <c r="C8" s="45">
        <f>ROUNDUP(C4/Inputs!$B$30,0)</f>
        <v/>
      </c>
      <c r="D8" s="45">
        <f>ROUNDUP(D4/Inputs!$B$30,0)</f>
        <v/>
      </c>
      <c r="E8" s="2" t="inlineStr">
        <is>
          <t>If the list alone had to deliver it.</t>
        </is>
      </c>
    </row>
    <row r="9">
      <c r="A9" s="5" t="inlineStr">
        <is>
          <t>Steam wishlists implied (proxy only)</t>
        </is>
      </c>
      <c r="B9" s="45">
        <f>ROUNDUP(B3/Inputs!$B$31,0)</f>
        <v/>
      </c>
      <c r="C9" s="45">
        <f>ROUNDUP(C3/Inputs!$B$31,0)</f>
        <v/>
      </c>
      <c r="D9" s="45">
        <f>ROUNDUP(D3/Inputs!$B$31,0)</f>
        <v/>
      </c>
      <c r="E9" s="2" t="inlineStr">
        <is>
          <t>Wishlists needed if ALL backers came from wishlisters at the assumed rate — shows why wishlists alone are not enough.</t>
        </is>
      </c>
    </row>
    <row r="10">
      <c r="A10" s="5" t="inlineStr">
        <is>
          <t>Pledges/day needed (30-day campaign, flat)</t>
        </is>
      </c>
      <c r="B10" s="50">
        <f>B3/30</f>
        <v/>
      </c>
      <c r="C10" s="50">
        <f>C3/30</f>
        <v/>
      </c>
      <c r="D10" s="50">
        <f>D3/30</f>
        <v/>
      </c>
      <c r="E10" s="2" t="inlineStr">
        <is>
          <t>Real campaigns front-load: ~30–40% of total in the first 72 h is typical (assumption).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2026-10-20T15:59:37Z</dcterms:created>
  <dcterms:modified xsi:type="dcterms:W3CDTF">2026-10-20T15:59:37Z</dcterms:modified>
</cp:coreProperties>
</file>